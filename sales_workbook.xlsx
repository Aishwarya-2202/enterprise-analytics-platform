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enterprise-analytics-platform\"/>
    </mc:Choice>
  </mc:AlternateContent>
  <xr:revisionPtr revIDLastSave="0" documentId="13_ncr:1_{7FE460C6-EACA-4DA5-9AC8-EFE4E36C52C4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SalesData" sheetId="1" r:id="rId1"/>
    <sheet name="QuickStats" sheetId="2" r:id="rId2"/>
    <sheet name="messy_sample_for_power_query.cs" sheetId="5" r:id="rId3"/>
    <sheet name="PIVOT" sheetId="3" r:id="rId4"/>
  </sheets>
  <definedNames>
    <definedName name="ExternalData_1" localSheetId="2" hidden="1">messy_sample_for_power_query.cs!$A$1:$K$7</definedName>
  </definedNames>
  <calcPr calcId="191029" iterateDelta="1E-4"/>
  <pivotCaches>
    <pivotCache cacheId="19" r:id="rId5"/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5" i="3" l="1"/>
  <c r="B116" i="3"/>
  <c r="B117" i="3"/>
  <c r="B1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48B3D5-70F0-4815-AC22-291642DDBEB3}" keepAlive="1" name="Query - sample_sales(1)" description="Connection to the 'sample_sales(1)' query in the workbook." type="5" refreshedVersion="8" background="1" saveData="1">
    <dbPr connection="Provider=Microsoft.Mashup.OleDb.1;Data Source=$Workbook$;Location=sample_sales(1);Extended Properties=&quot;&quot;" command="SELECT * FROM [sample_sales(1)]"/>
  </connection>
</connections>
</file>

<file path=xl/sharedStrings.xml><?xml version="1.0" encoding="utf-8"?>
<sst xmlns="http://schemas.openxmlformats.org/spreadsheetml/2006/main" count="1040" uniqueCount="150">
  <si>
    <t>Sale Date</t>
  </si>
  <si>
    <t>Customer Name</t>
  </si>
  <si>
    <t>Product Name</t>
  </si>
  <si>
    <t>Category</t>
  </si>
  <si>
    <t>Store Name</t>
  </si>
  <si>
    <t>Region</t>
  </si>
  <si>
    <t>Quantity</t>
  </si>
  <si>
    <t>Unit Price</t>
  </si>
  <si>
    <t>Total Amount</t>
  </si>
  <si>
    <t>2024-01-01</t>
  </si>
  <si>
    <t>Anna White</t>
  </si>
  <si>
    <t>Desk Lamp</t>
  </si>
  <si>
    <t>Furniture</t>
  </si>
  <si>
    <t>Westside Store</t>
  </si>
  <si>
    <t>West</t>
  </si>
  <si>
    <t>Jane Doe</t>
  </si>
  <si>
    <t>Wireless Mouse</t>
  </si>
  <si>
    <t>Electronics</t>
  </si>
  <si>
    <t>Uptown Store</t>
  </si>
  <si>
    <t>Northeast</t>
  </si>
  <si>
    <t>Emily Chen</t>
  </si>
  <si>
    <t>Sticky Notes</t>
  </si>
  <si>
    <t>Stationery</t>
  </si>
  <si>
    <t>Sara Lee</t>
  </si>
  <si>
    <t>2024-01-02</t>
  </si>
  <si>
    <t>Carlos Diaz</t>
  </si>
  <si>
    <t>USB-C Cable</t>
  </si>
  <si>
    <t>Downtown Store</t>
  </si>
  <si>
    <t>Midwest</t>
  </si>
  <si>
    <t>Pen Set</t>
  </si>
  <si>
    <t>2024-01-03</t>
  </si>
  <si>
    <t>David Kim</t>
  </si>
  <si>
    <t>2024-01-04</t>
  </si>
  <si>
    <t>John Smith</t>
  </si>
  <si>
    <t>Office Chair</t>
  </si>
  <si>
    <t>Mike Johnson</t>
  </si>
  <si>
    <t>Notebook Pack</t>
  </si>
  <si>
    <t>Southside Store</t>
  </si>
  <si>
    <t>South</t>
  </si>
  <si>
    <t>2024-01-05</t>
  </si>
  <si>
    <t>Tom Brown</t>
  </si>
  <si>
    <t>2024-01-06</t>
  </si>
  <si>
    <t>Standing Desk</t>
  </si>
  <si>
    <t>2024-01-07</t>
  </si>
  <si>
    <t>2024-01-08</t>
  </si>
  <si>
    <t>2024-01-09</t>
  </si>
  <si>
    <t>2024-01-10</t>
  </si>
  <si>
    <t>Priya Patel</t>
  </si>
  <si>
    <t>2024-01-11</t>
  </si>
  <si>
    <t>2024-01-12</t>
  </si>
  <si>
    <t>2024-01-13</t>
  </si>
  <si>
    <t>2024-01-14</t>
  </si>
  <si>
    <t>Bluetooth Headphones</t>
  </si>
  <si>
    <t>2024-01-15</t>
  </si>
  <si>
    <t>2024-01-16</t>
  </si>
  <si>
    <t>2024-01-17</t>
  </si>
  <si>
    <t>2024-01-18</t>
  </si>
  <si>
    <t>2024-01-20</t>
  </si>
  <si>
    <t>2024-01-21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</si>
  <si>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</si>
  <si>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</si>
  <si>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</si>
  <si>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</si>
  <si>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</si>
  <si>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</si>
  <si>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</si>
  <si>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</si>
  <si>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2024-02-03</t>
  </si>
  <si>
    <t>2024-02-04</t>
  </si>
  <si>
    <t>2024-02-05</t>
  </si>
  <si>
    <t>2024-02-07</t>
  </si>
  <si>
    <t>2024-02-08</t>
  </si>
  <si>
    <t>2024-02-09</t>
  </si>
  <si>
    <t>2024-02-10</t>
  </si>
  <si>
    <t>2024-02-12</t>
  </si>
  <si>
    <t>2024-02-13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</si>
  <si>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</si>
  <si>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</si>
  <si>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</si>
  <si>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</si>
  <si>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</si>
  <si>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</si>
  <si>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</si>
  <si>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</si>
  <si>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</si>
  <si>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</si>
  <si>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</si>
  <si>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</si>
  <si>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2024-02-28</t>
  </si>
  <si>
    <t>2024-02-29</t>
  </si>
  <si>
    <t>2024-03-01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</si>
  <si>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</si>
  <si>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</si>
  <si>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</si>
  <si>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</si>
  <si>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</si>
  <si>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</si>
  <si>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</si>
  <si>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</si>
  <si>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</si>
  <si>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</si>
  <si>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</si>
  <si>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</si>
  <si>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</si>
  <si>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</si>
  <si>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</si>
  <si>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</si>
  <si>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</si>
  <si>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</si>
  <si>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</si>
  <si>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</si>
  <si>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</si>
  <si>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</si>
  <si>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</si>
  <si>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</si>
  <si>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</si>
  <si>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2024-03-30</t>
  </si>
  <si>
    <t>Quick Stats (formulas reference the SalesData table)</t>
  </si>
  <si>
    <t>Metric</t>
  </si>
  <si>
    <t>Value</t>
  </si>
  <si>
    <t>Total Revenue</t>
  </si>
  <si>
    <t>Furniture Revenue</t>
  </si>
  <si>
    <t>Electronics Revenue</t>
  </si>
  <si>
    <t>Stationery Revenue</t>
  </si>
  <si>
    <t>Column Labels</t>
  </si>
  <si>
    <t>Grand Total</t>
  </si>
  <si>
    <t>Sum of Total Amount</t>
  </si>
  <si>
    <t>Row Labels</t>
  </si>
  <si>
    <t>(blank)</t>
  </si>
  <si>
    <t>(All)</t>
  </si>
  <si>
    <t>Sum of Quantity</t>
  </si>
  <si>
    <t>sale_date</t>
  </si>
  <si>
    <t>customer_name</t>
  </si>
  <si>
    <t>customer_email</t>
  </si>
  <si>
    <t>product_name</t>
  </si>
  <si>
    <t>category</t>
  </si>
  <si>
    <t>store_name</t>
  </si>
  <si>
    <t>city</t>
  </si>
  <si>
    <t>region</t>
  </si>
  <si>
    <t>quantity</t>
  </si>
  <si>
    <t>unit_price</t>
  </si>
  <si>
    <t>total_amount</t>
  </si>
  <si>
    <t>john.smith@email.com</t>
  </si>
  <si>
    <t>Chicago</t>
  </si>
  <si>
    <t>jane.doe@email.com</t>
  </si>
  <si>
    <t>priya.patel@email.com</t>
  </si>
  <si>
    <t>New York</t>
  </si>
  <si>
    <t>mike.j@email.com</t>
  </si>
  <si>
    <t>tom.brown@email.com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</si>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</sst>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Product Across Regions</a:t>
            </a:r>
            <a:endParaRPr lang="en-IN"/>
          </a:p>
        </c:rich>
      </c:tx>
      <c:layout>
        <c:manualLayout>
          <c:xMode val="edge"/>
          <c:yMode val="edge"/>
          <c:x val="0.26316998468606434"/>
          <c:y val="4.9629500732297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PIVOT!$B$35:$B$36</c:f>
              <c:strCache>
                <c:ptCount val="1"/>
                <c:pt idx="0">
                  <c:v>Midwest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PIVOT!$A$37:$A$46</c:f>
              <c:strCache>
                <c:ptCount val="9"/>
                <c:pt idx="0">
                  <c:v>Bluetooth Headphones</c:v>
                </c:pt>
                <c:pt idx="1">
                  <c:v>Desk Lamp</c:v>
                </c:pt>
                <c:pt idx="2">
                  <c:v>Notebook Pack</c:v>
                </c:pt>
                <c:pt idx="3">
                  <c:v>Office Chair</c:v>
                </c:pt>
                <c:pt idx="4">
                  <c:v>Pen Set</c:v>
                </c:pt>
                <c:pt idx="5">
                  <c:v>Standing Desk</c:v>
                </c:pt>
                <c:pt idx="6">
                  <c:v>Sticky Notes</c:v>
                </c:pt>
                <c:pt idx="7">
                  <c:v>USB-C Cable</c:v>
                </c:pt>
                <c:pt idx="8">
                  <c:v>Wireless Mouse</c:v>
                </c:pt>
              </c:strCache>
            </c:strRef>
          </c:cat>
          <c:val>
            <c:numRef>
              <c:f>PIVOT!$B$37:$B$46</c:f>
              <c:numCache>
                <c:formatCode>\$#,##0.00</c:formatCode>
                <c:ptCount val="9"/>
                <c:pt idx="0">
                  <c:v>299.95</c:v>
                </c:pt>
                <c:pt idx="1">
                  <c:v>249.89999999999998</c:v>
                </c:pt>
                <c:pt idx="2">
                  <c:v>25.5</c:v>
                </c:pt>
                <c:pt idx="3">
                  <c:v>1196</c:v>
                </c:pt>
                <c:pt idx="4">
                  <c:v>116.91</c:v>
                </c:pt>
                <c:pt idx="5">
                  <c:v>1794</c:v>
                </c:pt>
                <c:pt idx="6">
                  <c:v>62.82</c:v>
                </c:pt>
                <c:pt idx="7">
                  <c:v>229.77</c:v>
                </c:pt>
                <c:pt idx="8">
                  <c:v>339.83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F-40D6-ACB5-5D8263B54134}"/>
            </c:ext>
          </c:extLst>
        </c:ser>
        <c:ser>
          <c:idx val="1"/>
          <c:order val="1"/>
          <c:tx>
            <c:strRef>
              <c:f>PIVOT!$C$35:$C$36</c:f>
              <c:strCache>
                <c:ptCount val="1"/>
                <c:pt idx="0">
                  <c:v>Northeast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PIVOT!$A$37:$A$46</c:f>
              <c:strCache>
                <c:ptCount val="9"/>
                <c:pt idx="0">
                  <c:v>Bluetooth Headphones</c:v>
                </c:pt>
                <c:pt idx="1">
                  <c:v>Desk Lamp</c:v>
                </c:pt>
                <c:pt idx="2">
                  <c:v>Notebook Pack</c:v>
                </c:pt>
                <c:pt idx="3">
                  <c:v>Office Chair</c:v>
                </c:pt>
                <c:pt idx="4">
                  <c:v>Pen Set</c:v>
                </c:pt>
                <c:pt idx="5">
                  <c:v>Standing Desk</c:v>
                </c:pt>
                <c:pt idx="6">
                  <c:v>Sticky Notes</c:v>
                </c:pt>
                <c:pt idx="7">
                  <c:v>USB-C Cable</c:v>
                </c:pt>
                <c:pt idx="8">
                  <c:v>Wireless Mouse</c:v>
                </c:pt>
              </c:strCache>
            </c:strRef>
          </c:cat>
          <c:val>
            <c:numRef>
              <c:f>PIVOT!$C$37:$C$46</c:f>
              <c:numCache>
                <c:formatCode>\$#,##0.00</c:formatCode>
                <c:ptCount val="9"/>
                <c:pt idx="0">
                  <c:v>299.95</c:v>
                </c:pt>
                <c:pt idx="1">
                  <c:v>524.79000000000008</c:v>
                </c:pt>
                <c:pt idx="2">
                  <c:v>76.5</c:v>
                </c:pt>
                <c:pt idx="3">
                  <c:v>1495</c:v>
                </c:pt>
                <c:pt idx="4">
                  <c:v>168.86999999999998</c:v>
                </c:pt>
                <c:pt idx="5">
                  <c:v>2691</c:v>
                </c:pt>
                <c:pt idx="6">
                  <c:v>66.31</c:v>
                </c:pt>
                <c:pt idx="7">
                  <c:v>129.87</c:v>
                </c:pt>
                <c:pt idx="8">
                  <c:v>179.90999999999997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4F-40D6-ACB5-5D8263B54134}"/>
            </c:ext>
          </c:extLst>
        </c:ser>
        <c:ser>
          <c:idx val="2"/>
          <c:order val="2"/>
          <c:tx>
            <c:strRef>
              <c:f>PIVOT!$D$35:$D$36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PIVOT!$A$37:$A$46</c:f>
              <c:strCache>
                <c:ptCount val="9"/>
                <c:pt idx="0">
                  <c:v>Bluetooth Headphones</c:v>
                </c:pt>
                <c:pt idx="1">
                  <c:v>Desk Lamp</c:v>
                </c:pt>
                <c:pt idx="2">
                  <c:v>Notebook Pack</c:v>
                </c:pt>
                <c:pt idx="3">
                  <c:v>Office Chair</c:v>
                </c:pt>
                <c:pt idx="4">
                  <c:v>Pen Set</c:v>
                </c:pt>
                <c:pt idx="5">
                  <c:v>Standing Desk</c:v>
                </c:pt>
                <c:pt idx="6">
                  <c:v>Sticky Notes</c:v>
                </c:pt>
                <c:pt idx="7">
                  <c:v>USB-C Cable</c:v>
                </c:pt>
                <c:pt idx="8">
                  <c:v>Wireless Mouse</c:v>
                </c:pt>
              </c:strCache>
            </c:strRef>
          </c:cat>
          <c:val>
            <c:numRef>
              <c:f>PIVOT!$D$37:$D$46</c:f>
              <c:numCache>
                <c:formatCode>\$#,##0.00</c:formatCode>
                <c:ptCount val="9"/>
                <c:pt idx="0">
                  <c:v>779.87</c:v>
                </c:pt>
                <c:pt idx="1">
                  <c:v>149.94</c:v>
                </c:pt>
                <c:pt idx="2">
                  <c:v>29.75</c:v>
                </c:pt>
                <c:pt idx="3">
                  <c:v>2840.5</c:v>
                </c:pt>
                <c:pt idx="4">
                  <c:v>51.96</c:v>
                </c:pt>
                <c:pt idx="5">
                  <c:v>3289</c:v>
                </c:pt>
                <c:pt idx="6">
                  <c:v>41.88</c:v>
                </c:pt>
                <c:pt idx="7">
                  <c:v>69.930000000000007</c:v>
                </c:pt>
                <c:pt idx="8">
                  <c:v>199.89999999999998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4F-40D6-ACB5-5D8263B54134}"/>
            </c:ext>
          </c:extLst>
        </c:ser>
        <c:ser>
          <c:idx val="3"/>
          <c:order val="3"/>
          <c:tx>
            <c:strRef>
              <c:f>PIVOT!$E$35:$E$36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PIVOT!$A$37:$A$46</c:f>
              <c:strCache>
                <c:ptCount val="9"/>
                <c:pt idx="0">
                  <c:v>Bluetooth Headphones</c:v>
                </c:pt>
                <c:pt idx="1">
                  <c:v>Desk Lamp</c:v>
                </c:pt>
                <c:pt idx="2">
                  <c:v>Notebook Pack</c:v>
                </c:pt>
                <c:pt idx="3">
                  <c:v>Office Chair</c:v>
                </c:pt>
                <c:pt idx="4">
                  <c:v>Pen Set</c:v>
                </c:pt>
                <c:pt idx="5">
                  <c:v>Standing Desk</c:v>
                </c:pt>
                <c:pt idx="6">
                  <c:v>Sticky Notes</c:v>
                </c:pt>
                <c:pt idx="7">
                  <c:v>USB-C Cable</c:v>
                </c:pt>
                <c:pt idx="8">
                  <c:v>Wireless Mouse</c:v>
                </c:pt>
              </c:strCache>
            </c:strRef>
          </c:cat>
          <c:val>
            <c:numRef>
              <c:f>PIVOT!$E$37:$E$46</c:f>
              <c:numCache>
                <c:formatCode>\$#,##0.00</c:formatCode>
                <c:ptCount val="9"/>
                <c:pt idx="0">
                  <c:v>539.91</c:v>
                </c:pt>
                <c:pt idx="1">
                  <c:v>299.88</c:v>
                </c:pt>
                <c:pt idx="2">
                  <c:v>42.5</c:v>
                </c:pt>
                <c:pt idx="3">
                  <c:v>1644.5</c:v>
                </c:pt>
                <c:pt idx="5">
                  <c:v>6578</c:v>
                </c:pt>
                <c:pt idx="6">
                  <c:v>20.94</c:v>
                </c:pt>
                <c:pt idx="7">
                  <c:v>29.97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4F-40D6-ACB5-5D8263B54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827391"/>
        <c:axId val="1466811551"/>
      </c:lineChart>
      <c:catAx>
        <c:axId val="146682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11551"/>
        <c:crosses val="autoZero"/>
        <c:auto val="1"/>
        <c:lblAlgn val="ctr"/>
        <c:lblOffset val="100"/>
        <c:noMultiLvlLbl val="0"/>
      </c:catAx>
      <c:valAx>
        <c:axId val="146681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AMOUNT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2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Quantity Sold by Region and Category</a:t>
            </a:r>
            <a:endParaRPr lang="en-IN"/>
          </a:p>
        </c:rich>
      </c:tx>
      <c:layout>
        <c:manualLayout>
          <c:xMode val="edge"/>
          <c:yMode val="edge"/>
          <c:x val="0.24071999999999999"/>
          <c:y val="5.3514144065325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PIVOT!$B$55:$B$56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PIVOT!$A$57:$A$61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PIVOT!$B$57:$B$61</c:f>
              <c:numCache>
                <c:formatCode>General</c:formatCode>
                <c:ptCount val="4"/>
                <c:pt idx="0">
                  <c:v>45</c:v>
                </c:pt>
                <c:pt idx="1">
                  <c:v>27</c:v>
                </c:pt>
                <c:pt idx="2">
                  <c:v>30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9-430D-9F53-70D9EB6C8A4F}"/>
            </c:ext>
          </c:extLst>
        </c:ser>
        <c:ser>
          <c:idx val="1"/>
          <c:order val="1"/>
          <c:tx>
            <c:strRef>
              <c:f>PIVOT!$C$55:$C$56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PIVOT!$A$57:$A$61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PIVOT!$C$57:$C$61</c:f>
              <c:numCache>
                <c:formatCode>General</c:formatCode>
                <c:ptCount val="4"/>
                <c:pt idx="0">
                  <c:v>24</c:v>
                </c:pt>
                <c:pt idx="1">
                  <c:v>40</c:v>
                </c:pt>
                <c:pt idx="2">
                  <c:v>36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9-430D-9F53-70D9EB6C8A4F}"/>
            </c:ext>
          </c:extLst>
        </c:ser>
        <c:ser>
          <c:idx val="2"/>
          <c:order val="2"/>
          <c:tx>
            <c:strRef>
              <c:f>PIVOT!$D$55:$D$56</c:f>
              <c:strCache>
                <c:ptCount val="1"/>
                <c:pt idx="0">
                  <c:v>Stationery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PIVOT!$A$57:$A$61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PIVOT!$D$57:$D$61</c:f>
              <c:numCache>
                <c:formatCode>General</c:formatCode>
                <c:ptCount val="4"/>
                <c:pt idx="0">
                  <c:v>33</c:v>
                </c:pt>
                <c:pt idx="1">
                  <c:v>50</c:v>
                </c:pt>
                <c:pt idx="2">
                  <c:v>23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79-430D-9F53-70D9EB6C8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6855231"/>
        <c:axId val="1466845151"/>
        <c:axId val="0"/>
      </c:bar3DChart>
      <c:catAx>
        <c:axId val="146685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45151"/>
        <c:crosses val="autoZero"/>
        <c:auto val="1"/>
        <c:lblAlgn val="ctr"/>
        <c:lblOffset val="100"/>
        <c:noMultiLvlLbl val="0"/>
      </c:catAx>
      <c:valAx>
        <c:axId val="146684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5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PIVOT!$A$18:$A$23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PIVOT!$B$18:$B$23</c:f>
              <c:numCache>
                <c:formatCode>General</c:formatCode>
                <c:ptCount val="5"/>
                <c:pt idx="0">
                  <c:v>4314.6799999999976</c:v>
                </c:pt>
                <c:pt idx="1">
                  <c:v>5632.199999999998</c:v>
                </c:pt>
                <c:pt idx="2">
                  <c:v>7452.7299999999977</c:v>
                </c:pt>
                <c:pt idx="3">
                  <c:v>9155.6999999999971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6-45A0-9320-21E83C537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6815871"/>
        <c:axId val="1466816351"/>
        <c:axId val="0"/>
      </c:bar3DChart>
      <c:catAx>
        <c:axId val="146681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16351"/>
        <c:crosses val="autoZero"/>
        <c:auto val="1"/>
        <c:lblAlgn val="ctr"/>
        <c:lblOffset val="100"/>
        <c:noMultiLvlLbl val="0"/>
      </c:catAx>
      <c:valAx>
        <c:axId val="14668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1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Product</a:t>
            </a:r>
            <a:endParaRPr lang="en-US"/>
          </a:p>
        </c:rich>
      </c:tx>
      <c:layout>
        <c:manualLayout>
          <c:xMode val="edge"/>
          <c:yMode val="edge"/>
          <c:x val="0.34280000000000005"/>
          <c:y val="4.86543659654483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PIVOT!$A$4:$A$13</c:f>
              <c:strCache>
                <c:ptCount val="9"/>
                <c:pt idx="0">
                  <c:v>Bluetooth Headphones</c:v>
                </c:pt>
                <c:pt idx="1">
                  <c:v>Desk Lamp</c:v>
                </c:pt>
                <c:pt idx="2">
                  <c:v>Notebook Pack</c:v>
                </c:pt>
                <c:pt idx="3">
                  <c:v>Office Chair</c:v>
                </c:pt>
                <c:pt idx="4">
                  <c:v>Pen Set</c:v>
                </c:pt>
                <c:pt idx="5">
                  <c:v>Standing Desk</c:v>
                </c:pt>
                <c:pt idx="6">
                  <c:v>Sticky Notes</c:v>
                </c:pt>
                <c:pt idx="7">
                  <c:v>USB-C Cable</c:v>
                </c:pt>
                <c:pt idx="8">
                  <c:v>Wireless Mouse</c:v>
                </c:pt>
              </c:strCache>
            </c:strRef>
          </c:cat>
          <c:val>
            <c:numRef>
              <c:f>PIVOT!$B$4:$B$13</c:f>
              <c:numCache>
                <c:formatCode>\$#,##0.00</c:formatCode>
                <c:ptCount val="9"/>
                <c:pt idx="0">
                  <c:v>1919.68</c:v>
                </c:pt>
                <c:pt idx="1">
                  <c:v>1224.5100000000002</c:v>
                </c:pt>
                <c:pt idx="2">
                  <c:v>174.25</c:v>
                </c:pt>
                <c:pt idx="3">
                  <c:v>7176</c:v>
                </c:pt>
                <c:pt idx="4">
                  <c:v>337.74</c:v>
                </c:pt>
                <c:pt idx="5">
                  <c:v>14352</c:v>
                </c:pt>
                <c:pt idx="6">
                  <c:v>191.95000000000002</c:v>
                </c:pt>
                <c:pt idx="7">
                  <c:v>459.54000000000008</c:v>
                </c:pt>
                <c:pt idx="8">
                  <c:v>719.64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8-4283-825B-7C4576855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650495"/>
        <c:axId val="1305651455"/>
      </c:lineChart>
      <c:catAx>
        <c:axId val="130565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651455"/>
        <c:crosses val="autoZero"/>
        <c:auto val="1"/>
        <c:lblAlgn val="ctr"/>
        <c:lblOffset val="100"/>
        <c:noMultiLvlLbl val="0"/>
      </c:catAx>
      <c:valAx>
        <c:axId val="130565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65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PIVOT!$A$74:$A$77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PIVOT!$B$74:$B$77</c:f>
              <c:numCache>
                <c:formatCode>\$#,##0.00</c:formatCode>
                <c:ptCount val="3"/>
                <c:pt idx="0">
                  <c:v>3098.8599999999992</c:v>
                </c:pt>
                <c:pt idx="1">
                  <c:v>22752.51</c:v>
                </c:pt>
                <c:pt idx="2">
                  <c:v>703.94000000000028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8-48C1-BF8B-94F77540B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5657695"/>
        <c:axId val="1305641375"/>
        <c:axId val="0"/>
      </c:bar3DChart>
      <c:catAx>
        <c:axId val="13056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641375"/>
        <c:crosses val="autoZero"/>
        <c:auto val="1"/>
        <c:lblAlgn val="ctr"/>
        <c:lblOffset val="100"/>
        <c:noMultiLvlLbl val="0"/>
      </c:catAx>
      <c:valAx>
        <c:axId val="13056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6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PIVOT!$A$93:$A$103</c:f>
              <c:strCache>
                <c:ptCount val="10"/>
                <c:pt idx="0">
                  <c:v>Anna White</c:v>
                </c:pt>
                <c:pt idx="1">
                  <c:v>Sara Lee</c:v>
                </c:pt>
                <c:pt idx="2">
                  <c:v>Tom Brown</c:v>
                </c:pt>
                <c:pt idx="3">
                  <c:v>Carlos Diaz</c:v>
                </c:pt>
                <c:pt idx="4">
                  <c:v>David Kim</c:v>
                </c:pt>
                <c:pt idx="5">
                  <c:v>Mike Johnson</c:v>
                </c:pt>
                <c:pt idx="6">
                  <c:v>Jane Doe</c:v>
                </c:pt>
                <c:pt idx="7">
                  <c:v>Emily Chen</c:v>
                </c:pt>
                <c:pt idx="8">
                  <c:v>Priya Patel</c:v>
                </c:pt>
                <c:pt idx="9">
                  <c:v>John Smith</c:v>
                </c:pt>
              </c:strCache>
            </c:strRef>
          </c:cat>
          <c:val>
            <c:numRef>
              <c:f>PIVOT!$B$93:$B$103</c:f>
              <c:numCache>
                <c:formatCode>\$#,##0.00</c:formatCode>
                <c:ptCount val="10"/>
                <c:pt idx="0">
                  <c:v>7147.16</c:v>
                </c:pt>
                <c:pt idx="1">
                  <c:v>4292.5199999999995</c:v>
                </c:pt>
                <c:pt idx="2">
                  <c:v>2619.33</c:v>
                </c:pt>
                <c:pt idx="3">
                  <c:v>2590.9400000000005</c:v>
                </c:pt>
                <c:pt idx="4">
                  <c:v>2533.9299999999998</c:v>
                </c:pt>
                <c:pt idx="5">
                  <c:v>1895.5000000000002</c:v>
                </c:pt>
                <c:pt idx="6">
                  <c:v>1835.5600000000002</c:v>
                </c:pt>
                <c:pt idx="7">
                  <c:v>1659.8</c:v>
                </c:pt>
                <c:pt idx="8">
                  <c:v>1121.8300000000002</c:v>
                </c:pt>
                <c:pt idx="9">
                  <c:v>858.74000000000012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0-4C52-80F6-16298882B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10591"/>
        <c:axId val="16312511"/>
      </c:barChart>
      <c:catAx>
        <c:axId val="1631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511"/>
        <c:crosses val="autoZero"/>
        <c:auto val="1"/>
        <c:lblAlgn val="ctr"/>
        <c:lblOffset val="100"/>
        <c:noMultiLvlLbl val="0"/>
      </c:catAx>
      <c:valAx>
        <c:axId val="1631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PIVOT!$A$4:$A$13</c:f>
              <c:strCache>
                <c:ptCount val="9"/>
                <c:pt idx="0">
                  <c:v>Bluetooth Headphones</c:v>
                </c:pt>
                <c:pt idx="1">
                  <c:v>Desk Lamp</c:v>
                </c:pt>
                <c:pt idx="2">
                  <c:v>Notebook Pack</c:v>
                </c:pt>
                <c:pt idx="3">
                  <c:v>Office Chair</c:v>
                </c:pt>
                <c:pt idx="4">
                  <c:v>Pen Set</c:v>
                </c:pt>
                <c:pt idx="5">
                  <c:v>Standing Desk</c:v>
                </c:pt>
                <c:pt idx="6">
                  <c:v>Sticky Notes</c:v>
                </c:pt>
                <c:pt idx="7">
                  <c:v>USB-C Cable</c:v>
                </c:pt>
                <c:pt idx="8">
                  <c:v>Wireless Mouse</c:v>
                </c:pt>
              </c:strCache>
            </c:strRef>
          </c:cat>
          <c:val>
            <c:numRef>
              <c:f>PIVOT!$B$4:$B$13</c:f>
              <c:numCache>
                <c:formatCode>\$#,##0.00</c:formatCode>
                <c:ptCount val="9"/>
                <c:pt idx="0">
                  <c:v>1919.68</c:v>
                </c:pt>
                <c:pt idx="1">
                  <c:v>1224.5100000000002</c:v>
                </c:pt>
                <c:pt idx="2">
                  <c:v>174.25</c:v>
                </c:pt>
                <c:pt idx="3">
                  <c:v>7176</c:v>
                </c:pt>
                <c:pt idx="4">
                  <c:v>337.74</c:v>
                </c:pt>
                <c:pt idx="5">
                  <c:v>14352</c:v>
                </c:pt>
                <c:pt idx="6">
                  <c:v>191.95000000000002</c:v>
                </c:pt>
                <c:pt idx="7">
                  <c:v>459.54000000000008</c:v>
                </c:pt>
                <c:pt idx="8">
                  <c:v>719.64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B-40A1-B152-583C9426E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650495"/>
        <c:axId val="1305651455"/>
      </c:lineChart>
      <c:catAx>
        <c:axId val="130565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651455"/>
        <c:crosses val="autoZero"/>
        <c:auto val="1"/>
        <c:lblAlgn val="ctr"/>
        <c:lblOffset val="100"/>
        <c:noMultiLvlLbl val="0"/>
      </c:catAx>
      <c:valAx>
        <c:axId val="130565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65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PIVOT!$A$18:$A$23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PIVOT!$B$18:$B$23</c:f>
              <c:numCache>
                <c:formatCode>General</c:formatCode>
                <c:ptCount val="5"/>
                <c:pt idx="0">
                  <c:v>4314.6799999999976</c:v>
                </c:pt>
                <c:pt idx="1">
                  <c:v>5632.199999999998</c:v>
                </c:pt>
                <c:pt idx="2">
                  <c:v>7452.7299999999977</c:v>
                </c:pt>
                <c:pt idx="3">
                  <c:v>9155.6999999999971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4-48B8-8EA8-6D23D3007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6815871"/>
        <c:axId val="1466816351"/>
        <c:axId val="0"/>
      </c:bar3DChart>
      <c:catAx>
        <c:axId val="146681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16351"/>
        <c:crosses val="autoZero"/>
        <c:auto val="1"/>
        <c:lblAlgn val="ctr"/>
        <c:lblOffset val="100"/>
        <c:noMultiLvlLbl val="0"/>
      </c:catAx>
      <c:valAx>
        <c:axId val="14668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1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PIVOT!$B$35:$B$36</c:f>
              <c:strCache>
                <c:ptCount val="1"/>
                <c:pt idx="0">
                  <c:v>Midwest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PIVOT!$A$37:$A$46</c:f>
              <c:strCache>
                <c:ptCount val="9"/>
                <c:pt idx="0">
                  <c:v>Bluetooth Headphones</c:v>
                </c:pt>
                <c:pt idx="1">
                  <c:v>Desk Lamp</c:v>
                </c:pt>
                <c:pt idx="2">
                  <c:v>Notebook Pack</c:v>
                </c:pt>
                <c:pt idx="3">
                  <c:v>Office Chair</c:v>
                </c:pt>
                <c:pt idx="4">
                  <c:v>Pen Set</c:v>
                </c:pt>
                <c:pt idx="5">
                  <c:v>Standing Desk</c:v>
                </c:pt>
                <c:pt idx="6">
                  <c:v>Sticky Notes</c:v>
                </c:pt>
                <c:pt idx="7">
                  <c:v>USB-C Cable</c:v>
                </c:pt>
                <c:pt idx="8">
                  <c:v>Wireless Mouse</c:v>
                </c:pt>
              </c:strCache>
            </c:strRef>
          </c:cat>
          <c:val>
            <c:numRef>
              <c:f>PIVOT!$B$37:$B$46</c:f>
              <c:numCache>
                <c:formatCode>\$#,##0.00</c:formatCode>
                <c:ptCount val="9"/>
                <c:pt idx="0">
                  <c:v>299.95</c:v>
                </c:pt>
                <c:pt idx="1">
                  <c:v>249.89999999999998</c:v>
                </c:pt>
                <c:pt idx="2">
                  <c:v>25.5</c:v>
                </c:pt>
                <c:pt idx="3">
                  <c:v>1196</c:v>
                </c:pt>
                <c:pt idx="4">
                  <c:v>116.91</c:v>
                </c:pt>
                <c:pt idx="5">
                  <c:v>1794</c:v>
                </c:pt>
                <c:pt idx="6">
                  <c:v>62.82</c:v>
                </c:pt>
                <c:pt idx="7">
                  <c:v>229.77</c:v>
                </c:pt>
                <c:pt idx="8">
                  <c:v>339.83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7-4396-BA04-A3C4E7FF5EBE}"/>
            </c:ext>
          </c:extLst>
        </c:ser>
        <c:ser>
          <c:idx val="1"/>
          <c:order val="1"/>
          <c:tx>
            <c:strRef>
              <c:f>PIVOT!$C$35:$C$36</c:f>
              <c:strCache>
                <c:ptCount val="1"/>
                <c:pt idx="0">
                  <c:v>Northeast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PIVOT!$A$37:$A$46</c:f>
              <c:strCache>
                <c:ptCount val="9"/>
                <c:pt idx="0">
                  <c:v>Bluetooth Headphones</c:v>
                </c:pt>
                <c:pt idx="1">
                  <c:v>Desk Lamp</c:v>
                </c:pt>
                <c:pt idx="2">
                  <c:v>Notebook Pack</c:v>
                </c:pt>
                <c:pt idx="3">
                  <c:v>Office Chair</c:v>
                </c:pt>
                <c:pt idx="4">
                  <c:v>Pen Set</c:v>
                </c:pt>
                <c:pt idx="5">
                  <c:v>Standing Desk</c:v>
                </c:pt>
                <c:pt idx="6">
                  <c:v>Sticky Notes</c:v>
                </c:pt>
                <c:pt idx="7">
                  <c:v>USB-C Cable</c:v>
                </c:pt>
                <c:pt idx="8">
                  <c:v>Wireless Mouse</c:v>
                </c:pt>
              </c:strCache>
            </c:strRef>
          </c:cat>
          <c:val>
            <c:numRef>
              <c:f>PIVOT!$C$37:$C$46</c:f>
              <c:numCache>
                <c:formatCode>\$#,##0.00</c:formatCode>
                <c:ptCount val="9"/>
                <c:pt idx="0">
                  <c:v>299.95</c:v>
                </c:pt>
                <c:pt idx="1">
                  <c:v>524.79000000000008</c:v>
                </c:pt>
                <c:pt idx="2">
                  <c:v>76.5</c:v>
                </c:pt>
                <c:pt idx="3">
                  <c:v>1495</c:v>
                </c:pt>
                <c:pt idx="4">
                  <c:v>168.86999999999998</c:v>
                </c:pt>
                <c:pt idx="5">
                  <c:v>2691</c:v>
                </c:pt>
                <c:pt idx="6">
                  <c:v>66.31</c:v>
                </c:pt>
                <c:pt idx="7">
                  <c:v>129.87</c:v>
                </c:pt>
                <c:pt idx="8">
                  <c:v>179.90999999999997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F7-4396-BA04-A3C4E7FF5EBE}"/>
            </c:ext>
          </c:extLst>
        </c:ser>
        <c:ser>
          <c:idx val="2"/>
          <c:order val="2"/>
          <c:tx>
            <c:strRef>
              <c:f>PIVOT!$D$35:$D$36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PIVOT!$A$37:$A$46</c:f>
              <c:strCache>
                <c:ptCount val="9"/>
                <c:pt idx="0">
                  <c:v>Bluetooth Headphones</c:v>
                </c:pt>
                <c:pt idx="1">
                  <c:v>Desk Lamp</c:v>
                </c:pt>
                <c:pt idx="2">
                  <c:v>Notebook Pack</c:v>
                </c:pt>
                <c:pt idx="3">
                  <c:v>Office Chair</c:v>
                </c:pt>
                <c:pt idx="4">
                  <c:v>Pen Set</c:v>
                </c:pt>
                <c:pt idx="5">
                  <c:v>Standing Desk</c:v>
                </c:pt>
                <c:pt idx="6">
                  <c:v>Sticky Notes</c:v>
                </c:pt>
                <c:pt idx="7">
                  <c:v>USB-C Cable</c:v>
                </c:pt>
                <c:pt idx="8">
                  <c:v>Wireless Mouse</c:v>
                </c:pt>
              </c:strCache>
            </c:strRef>
          </c:cat>
          <c:val>
            <c:numRef>
              <c:f>PIVOT!$D$37:$D$46</c:f>
              <c:numCache>
                <c:formatCode>\$#,##0.00</c:formatCode>
                <c:ptCount val="9"/>
                <c:pt idx="0">
                  <c:v>779.87</c:v>
                </c:pt>
                <c:pt idx="1">
                  <c:v>149.94</c:v>
                </c:pt>
                <c:pt idx="2">
                  <c:v>29.75</c:v>
                </c:pt>
                <c:pt idx="3">
                  <c:v>2840.5</c:v>
                </c:pt>
                <c:pt idx="4">
                  <c:v>51.96</c:v>
                </c:pt>
                <c:pt idx="5">
                  <c:v>3289</c:v>
                </c:pt>
                <c:pt idx="6">
                  <c:v>41.88</c:v>
                </c:pt>
                <c:pt idx="7">
                  <c:v>69.930000000000007</c:v>
                </c:pt>
                <c:pt idx="8">
                  <c:v>199.89999999999998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F7-4396-BA04-A3C4E7FF5EBE}"/>
            </c:ext>
          </c:extLst>
        </c:ser>
        <c:ser>
          <c:idx val="3"/>
          <c:order val="3"/>
          <c:tx>
            <c:strRef>
              <c:f>PIVOT!$E$35:$E$36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PIVOT!$A$37:$A$46</c:f>
              <c:strCache>
                <c:ptCount val="9"/>
                <c:pt idx="0">
                  <c:v>Bluetooth Headphones</c:v>
                </c:pt>
                <c:pt idx="1">
                  <c:v>Desk Lamp</c:v>
                </c:pt>
                <c:pt idx="2">
                  <c:v>Notebook Pack</c:v>
                </c:pt>
                <c:pt idx="3">
                  <c:v>Office Chair</c:v>
                </c:pt>
                <c:pt idx="4">
                  <c:v>Pen Set</c:v>
                </c:pt>
                <c:pt idx="5">
                  <c:v>Standing Desk</c:v>
                </c:pt>
                <c:pt idx="6">
                  <c:v>Sticky Notes</c:v>
                </c:pt>
                <c:pt idx="7">
                  <c:v>USB-C Cable</c:v>
                </c:pt>
                <c:pt idx="8">
                  <c:v>Wireless Mouse</c:v>
                </c:pt>
              </c:strCache>
            </c:strRef>
          </c:cat>
          <c:val>
            <c:numRef>
              <c:f>PIVOT!$E$37:$E$46</c:f>
              <c:numCache>
                <c:formatCode>\$#,##0.00</c:formatCode>
                <c:ptCount val="9"/>
                <c:pt idx="0">
                  <c:v>539.91</c:v>
                </c:pt>
                <c:pt idx="1">
                  <c:v>299.88</c:v>
                </c:pt>
                <c:pt idx="2">
                  <c:v>42.5</c:v>
                </c:pt>
                <c:pt idx="3">
                  <c:v>1644.5</c:v>
                </c:pt>
                <c:pt idx="5">
                  <c:v>6578</c:v>
                </c:pt>
                <c:pt idx="6">
                  <c:v>20.94</c:v>
                </c:pt>
                <c:pt idx="7">
                  <c:v>29.97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F7-4396-BA04-A3C4E7FF5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827391"/>
        <c:axId val="1466811551"/>
      </c:lineChart>
      <c:catAx>
        <c:axId val="146682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11551"/>
        <c:crosses val="autoZero"/>
        <c:auto val="1"/>
        <c:lblAlgn val="ctr"/>
        <c:lblOffset val="100"/>
        <c:noMultiLvlLbl val="0"/>
      </c:catAx>
      <c:valAx>
        <c:axId val="146681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2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PIVOT!$B$55:$B$56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PIVOT!$A$57:$A$61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PIVOT!$B$57:$B$61</c:f>
              <c:numCache>
                <c:formatCode>General</c:formatCode>
                <c:ptCount val="4"/>
                <c:pt idx="0">
                  <c:v>45</c:v>
                </c:pt>
                <c:pt idx="1">
                  <c:v>27</c:v>
                </c:pt>
                <c:pt idx="2">
                  <c:v>30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0-4A60-BA5D-9D1CCEA5B97F}"/>
            </c:ext>
          </c:extLst>
        </c:ser>
        <c:ser>
          <c:idx val="1"/>
          <c:order val="1"/>
          <c:tx>
            <c:strRef>
              <c:f>PIVOT!$C$55:$C$56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PIVOT!$A$57:$A$61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PIVOT!$C$57:$C$61</c:f>
              <c:numCache>
                <c:formatCode>General</c:formatCode>
                <c:ptCount val="4"/>
                <c:pt idx="0">
                  <c:v>24</c:v>
                </c:pt>
                <c:pt idx="1">
                  <c:v>40</c:v>
                </c:pt>
                <c:pt idx="2">
                  <c:v>36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0-4A60-BA5D-9D1CCEA5B97F}"/>
            </c:ext>
          </c:extLst>
        </c:ser>
        <c:ser>
          <c:idx val="2"/>
          <c:order val="2"/>
          <c:tx>
            <c:strRef>
              <c:f>PIVOT!$D$55:$D$56</c:f>
              <c:strCache>
                <c:ptCount val="1"/>
                <c:pt idx="0">
                  <c:v>Stationery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PIVOT!$A$57:$A$61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PIVOT!$D$57:$D$61</c:f>
              <c:numCache>
                <c:formatCode>General</c:formatCode>
                <c:ptCount val="4"/>
                <c:pt idx="0">
                  <c:v>33</c:v>
                </c:pt>
                <c:pt idx="1">
                  <c:v>50</c:v>
                </c:pt>
                <c:pt idx="2">
                  <c:v>23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0-4A60-BA5D-9D1CCEA5B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6855231"/>
        <c:axId val="1466845151"/>
        <c:axId val="0"/>
      </c:bar3DChart>
      <c:catAx>
        <c:axId val="146685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45151"/>
        <c:crosses val="autoZero"/>
        <c:auto val="1"/>
        <c:lblAlgn val="ctr"/>
        <c:lblOffset val="100"/>
        <c:noMultiLvlLbl val="0"/>
      </c:catAx>
      <c:valAx>
        <c:axId val="146684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5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PIVOT!$A$74:$A$77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PIVOT!$B$74:$B$77</c:f>
              <c:numCache>
                <c:formatCode>\$#,##0.00</c:formatCode>
                <c:ptCount val="3"/>
                <c:pt idx="0">
                  <c:v>3098.8599999999992</c:v>
                </c:pt>
                <c:pt idx="1">
                  <c:v>22752.51</c:v>
                </c:pt>
                <c:pt idx="2">
                  <c:v>703.94000000000028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9-42D7-89A9-604E0B38B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5657695"/>
        <c:axId val="1305641375"/>
        <c:axId val="0"/>
      </c:bar3DChart>
      <c:catAx>
        <c:axId val="13056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641375"/>
        <c:crosses val="autoZero"/>
        <c:auto val="1"/>
        <c:lblAlgn val="ctr"/>
        <c:lblOffset val="100"/>
        <c:noMultiLvlLbl val="0"/>
      </c:catAx>
      <c:valAx>
        <c:axId val="13056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6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[sales_workbook.xlsx]PIVOT!PivotTable6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PIVOT!$A$93:$A$103</c:f>
              <c:strCache>
                <c:ptCount val="10"/>
                <c:pt idx="0">
                  <c:v>Anna White</c:v>
                </c:pt>
                <c:pt idx="1">
                  <c:v>Sara Lee</c:v>
                </c:pt>
                <c:pt idx="2">
                  <c:v>Tom Brown</c:v>
                </c:pt>
                <c:pt idx="3">
                  <c:v>Carlos Diaz</c:v>
                </c:pt>
                <c:pt idx="4">
                  <c:v>David Kim</c:v>
                </c:pt>
                <c:pt idx="5">
                  <c:v>Mike Johnson</c:v>
                </c:pt>
                <c:pt idx="6">
                  <c:v>Jane Doe</c:v>
                </c:pt>
                <c:pt idx="7">
                  <c:v>Emily Chen</c:v>
                </c:pt>
                <c:pt idx="8">
                  <c:v>Priya Patel</c:v>
                </c:pt>
                <c:pt idx="9">
                  <c:v>John Smith</c:v>
                </c:pt>
              </c:strCache>
            </c:strRef>
          </c:cat>
          <c:val>
            <c:numRef>
              <c:f>PIVOT!$B$93:$B$103</c:f>
              <c:numCache>
                <c:formatCode>\$#,##0.00</c:formatCode>
                <c:ptCount val="10"/>
                <c:pt idx="0">
                  <c:v>7147.16</c:v>
                </c:pt>
                <c:pt idx="1">
                  <c:v>4292.5199999999995</c:v>
                </c:pt>
                <c:pt idx="2">
                  <c:v>2619.33</c:v>
                </c:pt>
                <c:pt idx="3">
                  <c:v>2590.9400000000005</c:v>
                </c:pt>
                <c:pt idx="4">
                  <c:v>2533.9299999999998</c:v>
                </c:pt>
                <c:pt idx="5">
                  <c:v>1895.5000000000002</c:v>
                </c:pt>
                <c:pt idx="6">
                  <c:v>1835.5600000000002</c:v>
                </c:pt>
                <c:pt idx="7">
                  <c:v>1659.8</c:v>
                </c:pt>
                <c:pt idx="8">
                  <c:v>1121.8300000000002</c:v>
                </c:pt>
                <c:pt idx="9">
                  <c:v>858.74000000000012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6-4210-B167-29D2C6B9A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10591"/>
        <c:axId val="16312511"/>
      </c:barChart>
      <c:catAx>
        <c:axId val="1631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511"/>
        <c:crosses val="autoZero"/>
        <c:auto val="1"/>
        <c:lblAlgn val="ctr"/>
        <c:lblOffset val="100"/>
        <c:noMultiLvlLbl val="0"/>
      </c:catAx>
      <c:valAx>
        <c:axId val="1631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49968</xdr:rowOff>
    </xdr:from>
    <xdr:to>
      <xdr:col>8</xdr:col>
      <xdr:colOff>312295</xdr:colOff>
      <xdr:row>26</xdr:row>
      <xdr:rowOff>137411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E5D3B-B946-46F5-A286-7DCE7CD54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299804</xdr:colOff>
      <xdr:row>6</xdr:row>
      <xdr:rowOff>124918</xdr:rowOff>
    </xdr:from>
    <xdr:to>
      <xdr:col>17</xdr:col>
      <xdr:colOff>307424</xdr:colOff>
      <xdr:row>26</xdr:row>
      <xdr:rowOff>112426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A7D893-1F21-4D18-8BF8-9423BD510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137410</xdr:rowOff>
    </xdr:from>
    <xdr:to>
      <xdr:col>6</xdr:col>
      <xdr:colOff>0</xdr:colOff>
      <xdr:row>44</xdr:row>
      <xdr:rowOff>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5D21F8-233D-4A8B-A9E0-0B802D06E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593853</xdr:colOff>
      <xdr:row>6</xdr:row>
      <xdr:rowOff>87443</xdr:rowOff>
    </xdr:from>
    <xdr:to>
      <xdr:col>26</xdr:col>
      <xdr:colOff>587114</xdr:colOff>
      <xdr:row>26</xdr:row>
      <xdr:rowOff>98527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FD33F2-49D1-4F02-AEBC-8EEA931D3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173478</xdr:colOff>
      <xdr:row>28</xdr:row>
      <xdr:rowOff>139345</xdr:rowOff>
    </xdr:from>
    <xdr:to>
      <xdr:col>27</xdr:col>
      <xdr:colOff>12922</xdr:colOff>
      <xdr:row>43</xdr:row>
      <xdr:rowOff>139345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DC9068-C19C-4FB8-B7A6-616B3F187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368948</xdr:colOff>
      <xdr:row>28</xdr:row>
      <xdr:rowOff>148317</xdr:rowOff>
    </xdr:from>
    <xdr:to>
      <xdr:col>18</xdr:col>
      <xdr:colOff>220627</xdr:colOff>
      <xdr:row>43</xdr:row>
      <xdr:rowOff>148317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90A7EB-5BEB-49D9-9406-795B31DF1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37475</xdr:colOff>
      <xdr:row>1</xdr:row>
      <xdr:rowOff>154899</xdr:rowOff>
    </xdr:from>
    <xdr:to>
      <xdr:col>19</xdr:col>
      <xdr:colOff>0</xdr:colOff>
      <xdr:row>4</xdr:row>
      <xdr:rowOff>49968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790AEE3-5D3E-429F-7DCE-28D70A284E82}"/>
            </a:ext>
          </a:extLst>
        </xdr:cNvPr>
        <xdr:cNvSpPr txBox="1"/>
      </xdr:nvSpPr>
      <xdr:spPr>
        <a:xfrm>
          <a:off x="6845508" y="342276"/>
          <a:ext cx="595859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400" b="1"/>
            <a:t>SALES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179070</xdr:rowOff>
    </xdr:from>
    <xdr:to>
      <xdr:col>9</xdr:col>
      <xdr:colOff>967740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59D67-340F-E404-6CF5-11147DDA1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716280</xdr:colOff>
      <xdr:row>15</xdr:row>
      <xdr:rowOff>167640</xdr:rowOff>
    </xdr:from>
    <xdr:to>
      <xdr:col>9</xdr:col>
      <xdr:colOff>579120</xdr:colOff>
      <xdr:row>29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AA1766-8552-53AC-3E56-21852C1F4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11</xdr:col>
      <xdr:colOff>792480</xdr:colOff>
      <xdr:row>49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07701C-35AA-22B7-5C4C-9150AF029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708660</xdr:colOff>
      <xdr:row>52</xdr:row>
      <xdr:rowOff>7620</xdr:rowOff>
    </xdr:from>
    <xdr:to>
      <xdr:col>12</xdr:col>
      <xdr:colOff>289560</xdr:colOff>
      <xdr:row>67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CFD963-5A1B-12C5-AF88-FFD7C1268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647700</xdr:colOff>
      <xdr:row>71</xdr:row>
      <xdr:rowOff>144780</xdr:rowOff>
    </xdr:from>
    <xdr:to>
      <xdr:col>10</xdr:col>
      <xdr:colOff>243840</xdr:colOff>
      <xdr:row>86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F6B3D5-68F9-F1C0-1A5E-FDDAB4387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678180</xdr:colOff>
      <xdr:row>90</xdr:row>
      <xdr:rowOff>133350</xdr:rowOff>
    </xdr:from>
    <xdr:to>
      <xdr:col>9</xdr:col>
      <xdr:colOff>327660</xdr:colOff>
      <xdr:row>105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6D364B-6E29-B4FF-98AC-93722CB35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" refreshedDate="46224.385351736113" createdVersion="8" refreshedVersion="8" minRefreshableVersion="3" recordCount="150" xr:uid="{1652EFDF-A937-4F7F-ABC0-C59616858B76}">
  <cacheSource type="worksheet">
    <worksheetSource name="SalesData"/>
  </cacheSource>
  <cacheFields count="9">
    <cacheField name="Sale Date" numFmtId="0">
      <sharedItems count="78">
        <s v="2024-01-01"/>
        <s v="2024-01-02"/>
        <s v="2024-01-03"/>
        <s v="2024-01-04"/>
        <s v="2024-01-05"/>
        <s v="2024-01-06"/>
        <s v="2024-01-07"/>
        <s v="2024-01-08"/>
        <s v="2024-01-09"/>
        <s v="2024-01-10"/>
        <s v="2024-01-11"/>
        <s v="2024-01-12"/>
        <s v="2024-01-13"/>
        <s v="2024-01-14"/>
        <s v="2024-01-15"/>
        <s v="2024-01-16"/>
        <s v="2024-01-17"/>
        <s v="2024-01-18"/>
        <s v="2024-01-20"/>
        <s v="2024-01-21"/>
        <s v="2024-01-25"/>
        <s v="2024-01-26"/>
        <s v="2024-01-27"/>
        <s v="2024-01-28"/>
        <s v="2024-01-29"/>
        <s v="2024-01-30"/>
        <s v="2024-01-31"/>
        <s v="2024-02-01"/>
        <s v="2024-02-03"/>
        <s v="2024-02-04"/>
        <s v="2024-02-05"/>
        <s v="2024-02-07"/>
        <s v="2024-02-08"/>
        <s v="2024-02-09"/>
        <s v="2024-02-10"/>
        <s v="2024-02-12"/>
        <s v="2024-02-13"/>
        <s v="2024-02-15"/>
        <s v="2024-02-16"/>
        <s v="2024-02-17"/>
        <s v="2024-02-18"/>
        <s v="2024-02-19"/>
        <s v="2024-02-20"/>
        <s v="2024-02-21"/>
        <s v="2024-02-22"/>
        <s v="2024-02-23"/>
        <s v="2024-02-24"/>
        <s v="2024-02-25"/>
        <s v="2024-02-26"/>
        <s v="2024-02-28"/>
        <s v="2024-02-29"/>
        <s v="2024-03-01"/>
        <s v="2024-03-03"/>
        <s v="2024-03-04"/>
        <s v="2024-03-05"/>
        <s v="2024-03-06"/>
        <s v="2024-03-07"/>
        <s v="2024-03-08"/>
        <s v="2024-03-09"/>
        <s v="2024-03-10"/>
        <s v="2024-03-11"/>
        <s v="2024-03-12"/>
        <s v="2024-03-13"/>
        <s v="2024-03-14"/>
        <s v="2024-03-15"/>
        <s v="2024-03-16"/>
        <s v="2024-03-18"/>
        <s v="2024-03-19"/>
        <s v="2024-03-20"/>
        <s v="2024-03-21"/>
        <s v="2024-03-22"/>
        <s v="2024-03-23"/>
        <s v="2024-03-24"/>
        <s v="2024-03-25"/>
        <s v="2024-03-26"/>
        <s v="2024-03-27"/>
        <s v="2024-03-28"/>
        <s v="2024-03-30"/>
      </sharedItems>
    </cacheField>
    <cacheField name="Customer Name" numFmtId="0">
      <sharedItems count="10">
        <s v="Anna White"/>
        <s v="Jane Doe"/>
        <s v="Emily Chen"/>
        <s v="Sara Lee"/>
        <s v="Carlos Diaz"/>
        <s v="David Kim"/>
        <s v="John Smith"/>
        <s v="Mike Johnson"/>
        <s v="Tom Brown"/>
        <s v="Priya Patel"/>
      </sharedItems>
    </cacheField>
    <cacheField name="Product Name" numFmtId="0">
      <sharedItems count="9">
        <s v="Desk Lamp"/>
        <s v="Wireless Mouse"/>
        <s v="Sticky Notes"/>
        <s v="USB-C Cable"/>
        <s v="Pen Set"/>
        <s v="Office Chair"/>
        <s v="Notebook Pack"/>
        <s v="Standing Desk"/>
        <s v="Bluetooth Headphones"/>
      </sharedItems>
    </cacheField>
    <cacheField name="Category" numFmtId="0">
      <sharedItems count="3">
        <s v="Furniture"/>
        <s v="Electronics"/>
        <s v="Stationery"/>
      </sharedItems>
    </cacheField>
    <cacheField name="Store Name" numFmtId="0">
      <sharedItems/>
    </cacheField>
    <cacheField name="Region" numFmtId="0">
      <sharedItems count="4">
        <s v="West"/>
        <s v="Northeast"/>
        <s v="Midwest"/>
        <s v="South"/>
      </sharedItems>
    </cacheField>
    <cacheField name="Quantity" numFmtId="0">
      <sharedItems containsSemiMixedTypes="0" containsString="0" containsNumber="1" containsInteger="1" minValue="1" maxValue="4"/>
    </cacheField>
    <cacheField name="Unit Price" numFmtId="164">
      <sharedItems containsSemiMixedTypes="0" containsString="0" containsNumber="1" minValue="3.49" maxValue="299"/>
    </cacheField>
    <cacheField name="Total Amount" numFmtId="164">
      <sharedItems containsSemiMixedTypes="0" containsString="0" containsNumber="1" minValue="3.49" maxValue="1196" count="34">
        <n v="74.97"/>
        <n v="19.989999999999998"/>
        <n v="10.47"/>
        <n v="3.49"/>
        <n v="19.98"/>
        <n v="51.96"/>
        <n v="6.98"/>
        <n v="149.5"/>
        <n v="12.75"/>
        <n v="29.97"/>
        <n v="49.98"/>
        <n v="897"/>
        <n v="12.99"/>
        <n v="4.25"/>
        <n v="79.959999999999994"/>
        <n v="448.5"/>
        <n v="59.97"/>
        <n v="299"/>
        <n v="1196"/>
        <n v="179.97"/>
        <n v="17"/>
        <n v="13.96"/>
        <n v="119.98"/>
        <n v="39.96"/>
        <n v="598"/>
        <n v="24.99"/>
        <n v="39.979999999999997"/>
        <n v="59.99"/>
        <n v="99.96"/>
        <n v="25.98"/>
        <n v="9.99"/>
        <n v="239.96"/>
        <n v="8.5"/>
        <n v="38.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" refreshedDate="46224.387524999998" createdVersion="8" refreshedVersion="8" minRefreshableVersion="3" recordCount="151" xr:uid="{4F779343-EC26-4896-BEDA-F4AD77D84558}">
  <cacheSource type="worksheet">
    <worksheetSource ref="A1:XFD1048576" sheet="SalesData"/>
  </cacheSource>
  <cacheFields count="16384">
    <cacheField name="Sale Date" numFmtId="0">
      <sharedItems containsBlank="1"/>
    </cacheField>
    <cacheField name="Customer Name" numFmtId="0">
      <sharedItems containsBlank="1"/>
    </cacheField>
    <cacheField name="Product Name" numFmtId="0">
      <sharedItems containsBlank="1"/>
    </cacheField>
    <cacheField name="Category" numFmtId="0">
      <sharedItems containsBlank="1"/>
    </cacheField>
    <cacheField name="Store Name" numFmtId="0">
      <sharedItems containsBlank="1"/>
    </cacheField>
    <cacheField name="Region" numFmtId="0">
      <sharedItems containsBlank="1" count="5">
        <s v="West"/>
        <s v="Northeast"/>
        <s v="Midwest"/>
        <s v="South"/>
        <m/>
      </sharedItems>
    </cacheField>
    <cacheField name="Quantity" numFmtId="0">
      <sharedItems containsString="0" containsBlank="1" containsNumber="1" containsInteger="1" minValue="1" maxValue="4"/>
    </cacheField>
    <cacheField name="Unit Price" numFmtId="0">
      <sharedItems containsString="0" containsBlank="1" containsNumber="1" minValue="3.49" maxValue="299"/>
    </cacheField>
    <cacheField name="Total Amount" numFmtId="0">
      <sharedItems containsString="0" containsBlank="1" containsNumber="1" minValue="3.49" maxValue="1196"/>
    </cacheField>
    <cacheField name="Field10" caption="Field10" numFmtId="0">
      <sharedItems containsNonDate="0" containsString="0" containsBlank="1"/>
    </cacheField>
    <cacheField name="Field11" caption="Field11" numFmtId="0">
      <sharedItems containsNonDate="0" containsString="0" containsBlank="1"/>
    </cacheField>
    <cacheField name="Field12" caption="Field12" numFmtId="0">
      <sharedItems containsNonDate="0" containsString="0" containsBlank="1"/>
    </cacheField>
    <cacheField name="Field13" caption="Field13" numFmtId="0">
      <sharedItems containsNonDate="0" containsString="0" containsBlank="1"/>
    </cacheField>
    <cacheField name="Field14" caption="Field14" numFmtId="0">
      <sharedItems containsNonDate="0" containsString="0" containsBlank="1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x v="0"/>
    <s v="Westside Store"/>
    <x v="0"/>
    <n v="3"/>
    <n v="24.99"/>
    <x v="0"/>
  </r>
  <r>
    <x v="0"/>
    <x v="1"/>
    <x v="1"/>
    <x v="1"/>
    <s v="Uptown Store"/>
    <x v="1"/>
    <n v="1"/>
    <n v="19.989999999999998"/>
    <x v="1"/>
  </r>
  <r>
    <x v="0"/>
    <x v="2"/>
    <x v="2"/>
    <x v="2"/>
    <s v="Uptown Store"/>
    <x v="1"/>
    <n v="3"/>
    <n v="3.49"/>
    <x v="2"/>
  </r>
  <r>
    <x v="0"/>
    <x v="3"/>
    <x v="2"/>
    <x v="2"/>
    <s v="Uptown Store"/>
    <x v="1"/>
    <n v="1"/>
    <n v="3.49"/>
    <x v="3"/>
  </r>
  <r>
    <x v="1"/>
    <x v="4"/>
    <x v="3"/>
    <x v="1"/>
    <s v="Downtown Store"/>
    <x v="2"/>
    <n v="2"/>
    <n v="9.99"/>
    <x v="4"/>
  </r>
  <r>
    <x v="1"/>
    <x v="0"/>
    <x v="4"/>
    <x v="2"/>
    <s v="Downtown Store"/>
    <x v="2"/>
    <n v="4"/>
    <n v="12.99"/>
    <x v="5"/>
  </r>
  <r>
    <x v="2"/>
    <x v="5"/>
    <x v="2"/>
    <x v="2"/>
    <s v="Uptown Store"/>
    <x v="1"/>
    <n v="2"/>
    <n v="3.49"/>
    <x v="6"/>
  </r>
  <r>
    <x v="3"/>
    <x v="6"/>
    <x v="5"/>
    <x v="0"/>
    <s v="Westside Store"/>
    <x v="0"/>
    <n v="1"/>
    <n v="149.5"/>
    <x v="7"/>
  </r>
  <r>
    <x v="3"/>
    <x v="7"/>
    <x v="6"/>
    <x v="2"/>
    <s v="Southside Store"/>
    <x v="3"/>
    <n v="3"/>
    <n v="4.25"/>
    <x v="8"/>
  </r>
  <r>
    <x v="3"/>
    <x v="1"/>
    <x v="0"/>
    <x v="0"/>
    <s v="Uptown Store"/>
    <x v="1"/>
    <n v="3"/>
    <n v="24.99"/>
    <x v="0"/>
  </r>
  <r>
    <x v="4"/>
    <x v="1"/>
    <x v="6"/>
    <x v="2"/>
    <s v="Southside Store"/>
    <x v="3"/>
    <n v="3"/>
    <n v="4.25"/>
    <x v="8"/>
  </r>
  <r>
    <x v="4"/>
    <x v="8"/>
    <x v="3"/>
    <x v="1"/>
    <s v="Uptown Store"/>
    <x v="1"/>
    <n v="3"/>
    <n v="9.99"/>
    <x v="9"/>
  </r>
  <r>
    <x v="4"/>
    <x v="6"/>
    <x v="3"/>
    <x v="1"/>
    <s v="Uptown Store"/>
    <x v="1"/>
    <n v="2"/>
    <n v="9.99"/>
    <x v="4"/>
  </r>
  <r>
    <x v="5"/>
    <x v="6"/>
    <x v="2"/>
    <x v="2"/>
    <s v="Southside Store"/>
    <x v="3"/>
    <n v="2"/>
    <n v="3.49"/>
    <x v="6"/>
  </r>
  <r>
    <x v="5"/>
    <x v="7"/>
    <x v="0"/>
    <x v="0"/>
    <s v="Downtown Store"/>
    <x v="2"/>
    <n v="2"/>
    <n v="24.99"/>
    <x v="10"/>
  </r>
  <r>
    <x v="5"/>
    <x v="3"/>
    <x v="7"/>
    <x v="0"/>
    <s v="Downtown Store"/>
    <x v="2"/>
    <n v="3"/>
    <n v="299"/>
    <x v="11"/>
  </r>
  <r>
    <x v="6"/>
    <x v="3"/>
    <x v="4"/>
    <x v="2"/>
    <s v="Downtown Store"/>
    <x v="2"/>
    <n v="1"/>
    <n v="12.99"/>
    <x v="12"/>
  </r>
  <r>
    <x v="7"/>
    <x v="7"/>
    <x v="6"/>
    <x v="2"/>
    <s v="Westside Store"/>
    <x v="0"/>
    <n v="1"/>
    <n v="4.25"/>
    <x v="13"/>
  </r>
  <r>
    <x v="7"/>
    <x v="7"/>
    <x v="1"/>
    <x v="1"/>
    <s v="Southside Store"/>
    <x v="3"/>
    <n v="4"/>
    <n v="19.989999999999998"/>
    <x v="14"/>
  </r>
  <r>
    <x v="7"/>
    <x v="6"/>
    <x v="4"/>
    <x v="2"/>
    <s v="Uptown Store"/>
    <x v="1"/>
    <n v="1"/>
    <n v="12.99"/>
    <x v="12"/>
  </r>
  <r>
    <x v="8"/>
    <x v="3"/>
    <x v="7"/>
    <x v="0"/>
    <s v="Westside Store"/>
    <x v="0"/>
    <n v="3"/>
    <n v="299"/>
    <x v="11"/>
  </r>
  <r>
    <x v="9"/>
    <x v="9"/>
    <x v="2"/>
    <x v="2"/>
    <s v="Downtown Store"/>
    <x v="2"/>
    <n v="3"/>
    <n v="3.49"/>
    <x v="2"/>
  </r>
  <r>
    <x v="9"/>
    <x v="3"/>
    <x v="5"/>
    <x v="0"/>
    <s v="Southside Store"/>
    <x v="3"/>
    <n v="3"/>
    <n v="149.5"/>
    <x v="15"/>
  </r>
  <r>
    <x v="10"/>
    <x v="4"/>
    <x v="1"/>
    <x v="1"/>
    <s v="Downtown Store"/>
    <x v="2"/>
    <n v="3"/>
    <n v="19.989999999999998"/>
    <x v="16"/>
  </r>
  <r>
    <x v="11"/>
    <x v="3"/>
    <x v="4"/>
    <x v="2"/>
    <s v="Uptown Store"/>
    <x v="1"/>
    <n v="4"/>
    <n v="12.99"/>
    <x v="5"/>
  </r>
  <r>
    <x v="12"/>
    <x v="0"/>
    <x v="0"/>
    <x v="0"/>
    <s v="Westside Store"/>
    <x v="0"/>
    <n v="3"/>
    <n v="24.99"/>
    <x v="0"/>
  </r>
  <r>
    <x v="12"/>
    <x v="8"/>
    <x v="7"/>
    <x v="0"/>
    <s v="Southside Store"/>
    <x v="3"/>
    <n v="1"/>
    <n v="299"/>
    <x v="17"/>
  </r>
  <r>
    <x v="12"/>
    <x v="0"/>
    <x v="7"/>
    <x v="0"/>
    <s v="Westside Store"/>
    <x v="0"/>
    <n v="4"/>
    <n v="299"/>
    <x v="18"/>
  </r>
  <r>
    <x v="13"/>
    <x v="5"/>
    <x v="1"/>
    <x v="1"/>
    <s v="Southside Store"/>
    <x v="3"/>
    <n v="4"/>
    <n v="19.989999999999998"/>
    <x v="14"/>
  </r>
  <r>
    <x v="13"/>
    <x v="2"/>
    <x v="8"/>
    <x v="1"/>
    <s v="Southside Store"/>
    <x v="3"/>
    <n v="3"/>
    <n v="59.99"/>
    <x v="19"/>
  </r>
  <r>
    <x v="14"/>
    <x v="3"/>
    <x v="6"/>
    <x v="2"/>
    <s v="Uptown Store"/>
    <x v="1"/>
    <n v="4"/>
    <n v="4.25"/>
    <x v="20"/>
  </r>
  <r>
    <x v="15"/>
    <x v="7"/>
    <x v="5"/>
    <x v="0"/>
    <s v="Downtown Store"/>
    <x v="2"/>
    <n v="3"/>
    <n v="149.5"/>
    <x v="15"/>
  </r>
  <r>
    <x v="16"/>
    <x v="3"/>
    <x v="4"/>
    <x v="2"/>
    <s v="Southside Store"/>
    <x v="3"/>
    <n v="1"/>
    <n v="12.99"/>
    <x v="12"/>
  </r>
  <r>
    <x v="16"/>
    <x v="5"/>
    <x v="2"/>
    <x v="2"/>
    <s v="Downtown Store"/>
    <x v="2"/>
    <n v="4"/>
    <n v="3.49"/>
    <x v="21"/>
  </r>
  <r>
    <x v="17"/>
    <x v="4"/>
    <x v="8"/>
    <x v="1"/>
    <s v="Downtown Store"/>
    <x v="2"/>
    <n v="3"/>
    <n v="59.99"/>
    <x v="19"/>
  </r>
  <r>
    <x v="18"/>
    <x v="9"/>
    <x v="6"/>
    <x v="2"/>
    <s v="Downtown Store"/>
    <x v="2"/>
    <n v="4"/>
    <n v="4.25"/>
    <x v="20"/>
  </r>
  <r>
    <x v="19"/>
    <x v="8"/>
    <x v="7"/>
    <x v="0"/>
    <s v="Uptown Store"/>
    <x v="1"/>
    <n v="3"/>
    <n v="299"/>
    <x v="11"/>
  </r>
  <r>
    <x v="20"/>
    <x v="3"/>
    <x v="5"/>
    <x v="0"/>
    <s v="Southside Store"/>
    <x v="3"/>
    <n v="2"/>
    <n v="149.5"/>
    <x v="17"/>
  </r>
  <r>
    <x v="20"/>
    <x v="8"/>
    <x v="3"/>
    <x v="1"/>
    <s v="Uptown Store"/>
    <x v="1"/>
    <n v="2"/>
    <n v="9.99"/>
    <x v="4"/>
  </r>
  <r>
    <x v="21"/>
    <x v="6"/>
    <x v="8"/>
    <x v="1"/>
    <s v="Uptown Store"/>
    <x v="1"/>
    <n v="2"/>
    <n v="59.99"/>
    <x v="22"/>
  </r>
  <r>
    <x v="22"/>
    <x v="7"/>
    <x v="3"/>
    <x v="1"/>
    <s v="Southside Store"/>
    <x v="3"/>
    <n v="4"/>
    <n v="9.99"/>
    <x v="23"/>
  </r>
  <r>
    <x v="22"/>
    <x v="8"/>
    <x v="5"/>
    <x v="0"/>
    <s v="Southside Store"/>
    <x v="3"/>
    <n v="4"/>
    <n v="149.5"/>
    <x v="24"/>
  </r>
  <r>
    <x v="23"/>
    <x v="4"/>
    <x v="0"/>
    <x v="0"/>
    <s v="Southside Store"/>
    <x v="3"/>
    <n v="1"/>
    <n v="24.99"/>
    <x v="25"/>
  </r>
  <r>
    <x v="23"/>
    <x v="8"/>
    <x v="3"/>
    <x v="1"/>
    <s v="Downtown Store"/>
    <x v="2"/>
    <n v="4"/>
    <n v="9.99"/>
    <x v="23"/>
  </r>
  <r>
    <x v="23"/>
    <x v="0"/>
    <x v="1"/>
    <x v="1"/>
    <s v="Uptown Store"/>
    <x v="1"/>
    <n v="4"/>
    <n v="19.989999999999998"/>
    <x v="14"/>
  </r>
  <r>
    <x v="24"/>
    <x v="1"/>
    <x v="1"/>
    <x v="1"/>
    <s v="Downtown Store"/>
    <x v="2"/>
    <n v="2"/>
    <n v="19.989999999999998"/>
    <x v="26"/>
  </r>
  <r>
    <x v="24"/>
    <x v="4"/>
    <x v="0"/>
    <x v="0"/>
    <s v="Downtown Store"/>
    <x v="2"/>
    <n v="2"/>
    <n v="24.99"/>
    <x v="10"/>
  </r>
  <r>
    <x v="24"/>
    <x v="3"/>
    <x v="6"/>
    <x v="2"/>
    <s v="Westside Store"/>
    <x v="0"/>
    <n v="1"/>
    <n v="4.25"/>
    <x v="13"/>
  </r>
  <r>
    <x v="24"/>
    <x v="9"/>
    <x v="3"/>
    <x v="1"/>
    <s v="Downtown Store"/>
    <x v="2"/>
    <n v="4"/>
    <n v="9.99"/>
    <x v="23"/>
  </r>
  <r>
    <x v="25"/>
    <x v="0"/>
    <x v="8"/>
    <x v="1"/>
    <s v="Uptown Store"/>
    <x v="1"/>
    <n v="1"/>
    <n v="59.99"/>
    <x v="27"/>
  </r>
  <r>
    <x v="26"/>
    <x v="3"/>
    <x v="5"/>
    <x v="0"/>
    <s v="Uptown Store"/>
    <x v="1"/>
    <n v="2"/>
    <n v="149.5"/>
    <x v="17"/>
  </r>
  <r>
    <x v="26"/>
    <x v="0"/>
    <x v="4"/>
    <x v="2"/>
    <s v="Uptown Store"/>
    <x v="1"/>
    <n v="4"/>
    <n v="12.99"/>
    <x v="5"/>
  </r>
  <r>
    <x v="26"/>
    <x v="6"/>
    <x v="5"/>
    <x v="0"/>
    <s v="Downtown Store"/>
    <x v="2"/>
    <n v="1"/>
    <n v="149.5"/>
    <x v="7"/>
  </r>
  <r>
    <x v="26"/>
    <x v="9"/>
    <x v="6"/>
    <x v="2"/>
    <s v="Westside Store"/>
    <x v="0"/>
    <n v="4"/>
    <n v="4.25"/>
    <x v="20"/>
  </r>
  <r>
    <x v="27"/>
    <x v="4"/>
    <x v="6"/>
    <x v="2"/>
    <s v="Uptown Store"/>
    <x v="1"/>
    <n v="1"/>
    <n v="4.25"/>
    <x v="13"/>
  </r>
  <r>
    <x v="27"/>
    <x v="8"/>
    <x v="0"/>
    <x v="0"/>
    <s v="Uptown Store"/>
    <x v="1"/>
    <n v="4"/>
    <n v="24.99"/>
    <x v="28"/>
  </r>
  <r>
    <x v="28"/>
    <x v="9"/>
    <x v="5"/>
    <x v="0"/>
    <s v="Southside Store"/>
    <x v="3"/>
    <n v="4"/>
    <n v="149.5"/>
    <x v="24"/>
  </r>
  <r>
    <x v="29"/>
    <x v="3"/>
    <x v="0"/>
    <x v="0"/>
    <s v="Uptown Store"/>
    <x v="1"/>
    <n v="1"/>
    <n v="24.99"/>
    <x v="25"/>
  </r>
  <r>
    <x v="29"/>
    <x v="1"/>
    <x v="5"/>
    <x v="0"/>
    <s v="Southside Store"/>
    <x v="3"/>
    <n v="2"/>
    <n v="149.5"/>
    <x v="17"/>
  </r>
  <r>
    <x v="30"/>
    <x v="4"/>
    <x v="5"/>
    <x v="0"/>
    <s v="Downtown Store"/>
    <x v="2"/>
    <n v="4"/>
    <n v="149.5"/>
    <x v="24"/>
  </r>
  <r>
    <x v="31"/>
    <x v="7"/>
    <x v="1"/>
    <x v="1"/>
    <s v="Downtown Store"/>
    <x v="2"/>
    <n v="3"/>
    <n v="19.989999999999998"/>
    <x v="16"/>
  </r>
  <r>
    <x v="31"/>
    <x v="7"/>
    <x v="6"/>
    <x v="2"/>
    <s v="Uptown Store"/>
    <x v="1"/>
    <n v="3"/>
    <n v="4.25"/>
    <x v="8"/>
  </r>
  <r>
    <x v="32"/>
    <x v="2"/>
    <x v="0"/>
    <x v="0"/>
    <s v="Westside Store"/>
    <x v="0"/>
    <n v="3"/>
    <n v="24.99"/>
    <x v="0"/>
  </r>
  <r>
    <x v="32"/>
    <x v="0"/>
    <x v="6"/>
    <x v="2"/>
    <s v="Uptown Store"/>
    <x v="1"/>
    <n v="4"/>
    <n v="4.25"/>
    <x v="20"/>
  </r>
  <r>
    <x v="32"/>
    <x v="6"/>
    <x v="2"/>
    <x v="2"/>
    <s v="Uptown Store"/>
    <x v="1"/>
    <n v="3"/>
    <n v="3.49"/>
    <x v="2"/>
  </r>
  <r>
    <x v="33"/>
    <x v="0"/>
    <x v="7"/>
    <x v="0"/>
    <s v="Westside Store"/>
    <x v="0"/>
    <n v="4"/>
    <n v="299"/>
    <x v="18"/>
  </r>
  <r>
    <x v="34"/>
    <x v="2"/>
    <x v="3"/>
    <x v="1"/>
    <s v="Uptown Store"/>
    <x v="1"/>
    <n v="2"/>
    <n v="9.99"/>
    <x v="4"/>
  </r>
  <r>
    <x v="35"/>
    <x v="9"/>
    <x v="0"/>
    <x v="0"/>
    <s v="Uptown Store"/>
    <x v="1"/>
    <n v="4"/>
    <n v="24.99"/>
    <x v="28"/>
  </r>
  <r>
    <x v="36"/>
    <x v="0"/>
    <x v="0"/>
    <x v="0"/>
    <s v="Westside Store"/>
    <x v="0"/>
    <n v="3"/>
    <n v="24.99"/>
    <x v="0"/>
  </r>
  <r>
    <x v="36"/>
    <x v="1"/>
    <x v="5"/>
    <x v="0"/>
    <s v="Uptown Store"/>
    <x v="1"/>
    <n v="2"/>
    <n v="149.5"/>
    <x v="17"/>
  </r>
  <r>
    <x v="37"/>
    <x v="3"/>
    <x v="7"/>
    <x v="0"/>
    <s v="Southside Store"/>
    <x v="3"/>
    <n v="3"/>
    <n v="299"/>
    <x v="11"/>
  </r>
  <r>
    <x v="38"/>
    <x v="4"/>
    <x v="8"/>
    <x v="1"/>
    <s v="Westside Store"/>
    <x v="0"/>
    <n v="2"/>
    <n v="59.99"/>
    <x v="22"/>
  </r>
  <r>
    <x v="39"/>
    <x v="9"/>
    <x v="2"/>
    <x v="2"/>
    <s v="Downtown Store"/>
    <x v="2"/>
    <n v="3"/>
    <n v="3.49"/>
    <x v="2"/>
  </r>
  <r>
    <x v="39"/>
    <x v="9"/>
    <x v="3"/>
    <x v="1"/>
    <s v="Uptown Store"/>
    <x v="1"/>
    <n v="3"/>
    <n v="9.99"/>
    <x v="9"/>
  </r>
  <r>
    <x v="40"/>
    <x v="8"/>
    <x v="5"/>
    <x v="0"/>
    <s v="Westside Store"/>
    <x v="0"/>
    <n v="3"/>
    <n v="149.5"/>
    <x v="15"/>
  </r>
  <r>
    <x v="40"/>
    <x v="6"/>
    <x v="4"/>
    <x v="2"/>
    <s v="Uptown Store"/>
    <x v="1"/>
    <n v="2"/>
    <n v="12.99"/>
    <x v="29"/>
  </r>
  <r>
    <x v="40"/>
    <x v="5"/>
    <x v="4"/>
    <x v="2"/>
    <s v="Southside Store"/>
    <x v="3"/>
    <n v="1"/>
    <n v="12.99"/>
    <x v="12"/>
  </r>
  <r>
    <x v="41"/>
    <x v="8"/>
    <x v="6"/>
    <x v="2"/>
    <s v="Uptown Store"/>
    <x v="1"/>
    <n v="4"/>
    <n v="4.25"/>
    <x v="20"/>
  </r>
  <r>
    <x v="42"/>
    <x v="7"/>
    <x v="3"/>
    <x v="1"/>
    <s v="Uptown Store"/>
    <x v="1"/>
    <n v="1"/>
    <n v="9.99"/>
    <x v="30"/>
  </r>
  <r>
    <x v="43"/>
    <x v="3"/>
    <x v="2"/>
    <x v="2"/>
    <s v="Uptown Store"/>
    <x v="1"/>
    <n v="2"/>
    <n v="3.49"/>
    <x v="6"/>
  </r>
  <r>
    <x v="43"/>
    <x v="7"/>
    <x v="8"/>
    <x v="1"/>
    <s v="Downtown Store"/>
    <x v="2"/>
    <n v="1"/>
    <n v="59.99"/>
    <x v="27"/>
  </r>
  <r>
    <x v="43"/>
    <x v="4"/>
    <x v="3"/>
    <x v="1"/>
    <s v="Downtown Store"/>
    <x v="2"/>
    <n v="2"/>
    <n v="9.99"/>
    <x v="4"/>
  </r>
  <r>
    <x v="44"/>
    <x v="6"/>
    <x v="8"/>
    <x v="1"/>
    <s v="Southside Store"/>
    <x v="3"/>
    <n v="4"/>
    <n v="59.99"/>
    <x v="31"/>
  </r>
  <r>
    <x v="45"/>
    <x v="0"/>
    <x v="8"/>
    <x v="1"/>
    <s v="Southside Store"/>
    <x v="3"/>
    <n v="4"/>
    <n v="59.99"/>
    <x v="31"/>
  </r>
  <r>
    <x v="45"/>
    <x v="0"/>
    <x v="7"/>
    <x v="0"/>
    <s v="Westside Store"/>
    <x v="0"/>
    <n v="4"/>
    <n v="299"/>
    <x v="18"/>
  </r>
  <r>
    <x v="46"/>
    <x v="2"/>
    <x v="4"/>
    <x v="2"/>
    <s v="Uptown Store"/>
    <x v="1"/>
    <n v="2"/>
    <n v="12.99"/>
    <x v="29"/>
  </r>
  <r>
    <x v="46"/>
    <x v="7"/>
    <x v="8"/>
    <x v="1"/>
    <s v="Westside Store"/>
    <x v="0"/>
    <n v="1"/>
    <n v="59.99"/>
    <x v="27"/>
  </r>
  <r>
    <x v="46"/>
    <x v="2"/>
    <x v="7"/>
    <x v="0"/>
    <s v="Southside Store"/>
    <x v="3"/>
    <n v="4"/>
    <n v="299"/>
    <x v="18"/>
  </r>
  <r>
    <x v="47"/>
    <x v="5"/>
    <x v="0"/>
    <x v="0"/>
    <s v="Southside Store"/>
    <x v="3"/>
    <n v="2"/>
    <n v="24.99"/>
    <x v="10"/>
  </r>
  <r>
    <x v="47"/>
    <x v="5"/>
    <x v="2"/>
    <x v="2"/>
    <s v="Downtown Store"/>
    <x v="2"/>
    <n v="4"/>
    <n v="3.49"/>
    <x v="21"/>
  </r>
  <r>
    <x v="47"/>
    <x v="1"/>
    <x v="7"/>
    <x v="0"/>
    <s v="Southside Store"/>
    <x v="3"/>
    <n v="1"/>
    <n v="299"/>
    <x v="17"/>
  </r>
  <r>
    <x v="47"/>
    <x v="5"/>
    <x v="7"/>
    <x v="0"/>
    <s v="Westside Store"/>
    <x v="0"/>
    <n v="4"/>
    <n v="299"/>
    <x v="18"/>
  </r>
  <r>
    <x v="48"/>
    <x v="7"/>
    <x v="2"/>
    <x v="2"/>
    <s v="Westside Store"/>
    <x v="0"/>
    <n v="2"/>
    <n v="3.49"/>
    <x v="6"/>
  </r>
  <r>
    <x v="49"/>
    <x v="8"/>
    <x v="0"/>
    <x v="0"/>
    <s v="Uptown Store"/>
    <x v="1"/>
    <n v="2"/>
    <n v="24.99"/>
    <x v="10"/>
  </r>
  <r>
    <x v="49"/>
    <x v="2"/>
    <x v="3"/>
    <x v="1"/>
    <s v="Westside Store"/>
    <x v="0"/>
    <n v="1"/>
    <n v="9.99"/>
    <x v="30"/>
  </r>
  <r>
    <x v="49"/>
    <x v="0"/>
    <x v="5"/>
    <x v="0"/>
    <s v="Westside Store"/>
    <x v="0"/>
    <n v="4"/>
    <n v="149.5"/>
    <x v="24"/>
  </r>
  <r>
    <x v="50"/>
    <x v="2"/>
    <x v="2"/>
    <x v="2"/>
    <s v="Southside Store"/>
    <x v="3"/>
    <n v="4"/>
    <n v="3.49"/>
    <x v="21"/>
  </r>
  <r>
    <x v="50"/>
    <x v="0"/>
    <x v="0"/>
    <x v="0"/>
    <s v="Uptown Store"/>
    <x v="1"/>
    <n v="3"/>
    <n v="24.99"/>
    <x v="0"/>
  </r>
  <r>
    <x v="50"/>
    <x v="6"/>
    <x v="3"/>
    <x v="1"/>
    <s v="Downtown Store"/>
    <x v="2"/>
    <n v="4"/>
    <n v="9.99"/>
    <x v="23"/>
  </r>
  <r>
    <x v="51"/>
    <x v="1"/>
    <x v="5"/>
    <x v="0"/>
    <s v="Westside Store"/>
    <x v="0"/>
    <n v="3"/>
    <n v="149.5"/>
    <x v="15"/>
  </r>
  <r>
    <x v="51"/>
    <x v="4"/>
    <x v="4"/>
    <x v="2"/>
    <s v="Southside Store"/>
    <x v="3"/>
    <n v="2"/>
    <n v="12.99"/>
    <x v="29"/>
  </r>
  <r>
    <x v="51"/>
    <x v="4"/>
    <x v="0"/>
    <x v="0"/>
    <s v="Uptown Store"/>
    <x v="1"/>
    <n v="3"/>
    <n v="24.99"/>
    <x v="0"/>
  </r>
  <r>
    <x v="52"/>
    <x v="1"/>
    <x v="2"/>
    <x v="2"/>
    <s v="Uptown Store"/>
    <x v="1"/>
    <n v="2"/>
    <n v="3.49"/>
    <x v="6"/>
  </r>
  <r>
    <x v="52"/>
    <x v="6"/>
    <x v="3"/>
    <x v="1"/>
    <s v="Southside Store"/>
    <x v="3"/>
    <n v="3"/>
    <n v="9.99"/>
    <x v="9"/>
  </r>
  <r>
    <x v="53"/>
    <x v="8"/>
    <x v="8"/>
    <x v="1"/>
    <s v="Westside Store"/>
    <x v="0"/>
    <n v="2"/>
    <n v="59.99"/>
    <x v="22"/>
  </r>
  <r>
    <x v="54"/>
    <x v="4"/>
    <x v="0"/>
    <x v="0"/>
    <s v="Downtown Store"/>
    <x v="2"/>
    <n v="1"/>
    <n v="24.99"/>
    <x v="25"/>
  </r>
  <r>
    <x v="54"/>
    <x v="3"/>
    <x v="8"/>
    <x v="1"/>
    <s v="Southside Store"/>
    <x v="3"/>
    <n v="1"/>
    <n v="59.99"/>
    <x v="27"/>
  </r>
  <r>
    <x v="54"/>
    <x v="5"/>
    <x v="1"/>
    <x v="1"/>
    <s v="Uptown Store"/>
    <x v="1"/>
    <n v="4"/>
    <n v="19.989999999999998"/>
    <x v="14"/>
  </r>
  <r>
    <x v="55"/>
    <x v="4"/>
    <x v="3"/>
    <x v="1"/>
    <s v="Downtown Store"/>
    <x v="2"/>
    <n v="1"/>
    <n v="9.99"/>
    <x v="30"/>
  </r>
  <r>
    <x v="55"/>
    <x v="1"/>
    <x v="8"/>
    <x v="1"/>
    <s v="Downtown Store"/>
    <x v="2"/>
    <n v="1"/>
    <n v="59.99"/>
    <x v="27"/>
  </r>
  <r>
    <x v="56"/>
    <x v="4"/>
    <x v="5"/>
    <x v="0"/>
    <s v="Southside Store"/>
    <x v="3"/>
    <n v="4"/>
    <n v="149.5"/>
    <x v="24"/>
  </r>
  <r>
    <x v="56"/>
    <x v="3"/>
    <x v="2"/>
    <x v="2"/>
    <s v="Westside Store"/>
    <x v="0"/>
    <n v="4"/>
    <n v="3.49"/>
    <x v="21"/>
  </r>
  <r>
    <x v="57"/>
    <x v="5"/>
    <x v="6"/>
    <x v="2"/>
    <s v="Uptown Store"/>
    <x v="1"/>
    <n v="2"/>
    <n v="4.25"/>
    <x v="32"/>
  </r>
  <r>
    <x v="58"/>
    <x v="0"/>
    <x v="7"/>
    <x v="0"/>
    <s v="Downtown Store"/>
    <x v="2"/>
    <n v="3"/>
    <n v="299"/>
    <x v="11"/>
  </r>
  <r>
    <x v="58"/>
    <x v="4"/>
    <x v="8"/>
    <x v="1"/>
    <s v="Westside Store"/>
    <x v="0"/>
    <n v="2"/>
    <n v="59.99"/>
    <x v="22"/>
  </r>
  <r>
    <x v="59"/>
    <x v="3"/>
    <x v="2"/>
    <x v="2"/>
    <s v="Downtown Store"/>
    <x v="2"/>
    <n v="3"/>
    <n v="3.49"/>
    <x v="2"/>
  </r>
  <r>
    <x v="60"/>
    <x v="0"/>
    <x v="2"/>
    <x v="2"/>
    <s v="Downtown Store"/>
    <x v="2"/>
    <n v="1"/>
    <n v="3.49"/>
    <x v="3"/>
  </r>
  <r>
    <x v="60"/>
    <x v="1"/>
    <x v="1"/>
    <x v="1"/>
    <s v="Downtown Store"/>
    <x v="2"/>
    <n v="1"/>
    <n v="19.989999999999998"/>
    <x v="1"/>
  </r>
  <r>
    <x v="60"/>
    <x v="6"/>
    <x v="0"/>
    <x v="0"/>
    <s v="Southside Store"/>
    <x v="3"/>
    <n v="2"/>
    <n v="24.99"/>
    <x v="10"/>
  </r>
  <r>
    <x v="60"/>
    <x v="3"/>
    <x v="7"/>
    <x v="0"/>
    <s v="Uptown Store"/>
    <x v="1"/>
    <n v="1"/>
    <n v="299"/>
    <x v="17"/>
  </r>
  <r>
    <x v="61"/>
    <x v="7"/>
    <x v="3"/>
    <x v="1"/>
    <s v="Westside Store"/>
    <x v="0"/>
    <n v="2"/>
    <n v="9.99"/>
    <x v="4"/>
  </r>
  <r>
    <x v="61"/>
    <x v="6"/>
    <x v="2"/>
    <x v="2"/>
    <s v="Uptown Store"/>
    <x v="1"/>
    <n v="1"/>
    <n v="3.49"/>
    <x v="3"/>
  </r>
  <r>
    <x v="62"/>
    <x v="5"/>
    <x v="6"/>
    <x v="2"/>
    <s v="Southside Store"/>
    <x v="3"/>
    <n v="1"/>
    <n v="4.25"/>
    <x v="13"/>
  </r>
  <r>
    <x v="63"/>
    <x v="0"/>
    <x v="4"/>
    <x v="2"/>
    <s v="Downtown Store"/>
    <x v="2"/>
    <n v="3"/>
    <n v="12.99"/>
    <x v="33"/>
  </r>
  <r>
    <x v="63"/>
    <x v="7"/>
    <x v="0"/>
    <x v="0"/>
    <s v="Downtown Store"/>
    <x v="2"/>
    <n v="4"/>
    <n v="24.99"/>
    <x v="28"/>
  </r>
  <r>
    <x v="64"/>
    <x v="5"/>
    <x v="1"/>
    <x v="1"/>
    <s v="Downtown Store"/>
    <x v="2"/>
    <n v="4"/>
    <n v="19.989999999999998"/>
    <x v="14"/>
  </r>
  <r>
    <x v="64"/>
    <x v="0"/>
    <x v="7"/>
    <x v="0"/>
    <s v="Uptown Store"/>
    <x v="1"/>
    <n v="2"/>
    <n v="299"/>
    <x v="24"/>
  </r>
  <r>
    <x v="64"/>
    <x v="2"/>
    <x v="8"/>
    <x v="1"/>
    <s v="Westside Store"/>
    <x v="0"/>
    <n v="2"/>
    <n v="59.99"/>
    <x v="22"/>
  </r>
  <r>
    <x v="65"/>
    <x v="5"/>
    <x v="1"/>
    <x v="1"/>
    <s v="Downtown Store"/>
    <x v="2"/>
    <n v="4"/>
    <n v="19.989999999999998"/>
    <x v="14"/>
  </r>
  <r>
    <x v="66"/>
    <x v="7"/>
    <x v="7"/>
    <x v="0"/>
    <s v="Uptown Store"/>
    <x v="1"/>
    <n v="3"/>
    <n v="299"/>
    <x v="11"/>
  </r>
  <r>
    <x v="67"/>
    <x v="2"/>
    <x v="6"/>
    <x v="2"/>
    <s v="Westside Store"/>
    <x v="0"/>
    <n v="2"/>
    <n v="4.25"/>
    <x v="32"/>
  </r>
  <r>
    <x v="68"/>
    <x v="9"/>
    <x v="5"/>
    <x v="0"/>
    <s v="Uptown Store"/>
    <x v="1"/>
    <n v="2"/>
    <n v="149.5"/>
    <x v="17"/>
  </r>
  <r>
    <x v="69"/>
    <x v="3"/>
    <x v="2"/>
    <x v="2"/>
    <s v="Uptown Store"/>
    <x v="1"/>
    <n v="2"/>
    <n v="3.49"/>
    <x v="6"/>
  </r>
  <r>
    <x v="70"/>
    <x v="1"/>
    <x v="1"/>
    <x v="1"/>
    <s v="Southside Store"/>
    <x v="3"/>
    <n v="2"/>
    <n v="19.989999999999998"/>
    <x v="26"/>
  </r>
  <r>
    <x v="70"/>
    <x v="4"/>
    <x v="3"/>
    <x v="1"/>
    <s v="Downtown Store"/>
    <x v="2"/>
    <n v="3"/>
    <n v="9.99"/>
    <x v="9"/>
  </r>
  <r>
    <x v="70"/>
    <x v="0"/>
    <x v="0"/>
    <x v="0"/>
    <s v="Downtown Store"/>
    <x v="2"/>
    <n v="1"/>
    <n v="24.99"/>
    <x v="25"/>
  </r>
  <r>
    <x v="71"/>
    <x v="4"/>
    <x v="4"/>
    <x v="2"/>
    <s v="Downtown Store"/>
    <x v="2"/>
    <n v="1"/>
    <n v="12.99"/>
    <x v="12"/>
  </r>
  <r>
    <x v="72"/>
    <x v="4"/>
    <x v="6"/>
    <x v="2"/>
    <s v="Westside Store"/>
    <x v="0"/>
    <n v="2"/>
    <n v="4.25"/>
    <x v="32"/>
  </r>
  <r>
    <x v="73"/>
    <x v="4"/>
    <x v="2"/>
    <x v="2"/>
    <s v="Uptown Store"/>
    <x v="1"/>
    <n v="3"/>
    <n v="3.49"/>
    <x v="2"/>
  </r>
  <r>
    <x v="73"/>
    <x v="1"/>
    <x v="0"/>
    <x v="0"/>
    <s v="Southside Store"/>
    <x v="3"/>
    <n v="1"/>
    <n v="24.99"/>
    <x v="25"/>
  </r>
  <r>
    <x v="73"/>
    <x v="1"/>
    <x v="8"/>
    <x v="1"/>
    <s v="Southside Store"/>
    <x v="3"/>
    <n v="1"/>
    <n v="59.99"/>
    <x v="27"/>
  </r>
  <r>
    <x v="73"/>
    <x v="5"/>
    <x v="7"/>
    <x v="0"/>
    <s v="Westside Store"/>
    <x v="0"/>
    <n v="3"/>
    <n v="299"/>
    <x v="11"/>
  </r>
  <r>
    <x v="73"/>
    <x v="5"/>
    <x v="2"/>
    <x v="2"/>
    <s v="Southside Store"/>
    <x v="3"/>
    <n v="3"/>
    <n v="3.49"/>
    <x v="2"/>
  </r>
  <r>
    <x v="74"/>
    <x v="7"/>
    <x v="0"/>
    <x v="0"/>
    <s v="Uptown Store"/>
    <x v="1"/>
    <n v="1"/>
    <n v="24.99"/>
    <x v="25"/>
  </r>
  <r>
    <x v="74"/>
    <x v="4"/>
    <x v="5"/>
    <x v="0"/>
    <s v="Uptown Store"/>
    <x v="1"/>
    <n v="4"/>
    <n v="149.5"/>
    <x v="24"/>
  </r>
  <r>
    <x v="75"/>
    <x v="7"/>
    <x v="6"/>
    <x v="2"/>
    <s v="Downtown Store"/>
    <x v="2"/>
    <n v="2"/>
    <n v="4.25"/>
    <x v="32"/>
  </r>
  <r>
    <x v="76"/>
    <x v="1"/>
    <x v="2"/>
    <x v="2"/>
    <s v="Southside Store"/>
    <x v="3"/>
    <n v="3"/>
    <n v="3.49"/>
    <x v="2"/>
  </r>
  <r>
    <x v="77"/>
    <x v="0"/>
    <x v="7"/>
    <x v="0"/>
    <s v="Southside Store"/>
    <x v="3"/>
    <n v="2"/>
    <n v="299"/>
    <x v="24"/>
  </r>
  <r>
    <x v="77"/>
    <x v="1"/>
    <x v="8"/>
    <x v="1"/>
    <s v="Uptown Store"/>
    <x v="1"/>
    <n v="2"/>
    <n v="59.99"/>
    <x v="22"/>
  </r>
  <r>
    <x v="77"/>
    <x v="3"/>
    <x v="3"/>
    <x v="1"/>
    <s v="Downtown Store"/>
    <x v="2"/>
    <n v="3"/>
    <n v="9.99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s v="2024-01-01"/>
    <s v="Anna White"/>
    <s v="Desk Lamp"/>
    <s v="Furniture"/>
    <s v="Westside Store"/>
    <x v="0"/>
    <n v="3"/>
    <n v="24.99"/>
    <n v="74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1"/>
    <s v="Jane Doe"/>
    <s v="Wireless Mouse"/>
    <s v="Electronics"/>
    <s v="Uptown Store"/>
    <x v="1"/>
    <n v="1"/>
    <n v="19.989999999999998"/>
    <n v="19.98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1"/>
    <s v="Emily Chen"/>
    <s v="Sticky Notes"/>
    <s v="Stationery"/>
    <s v="Uptown Store"/>
    <x v="1"/>
    <n v="3"/>
    <n v="3.49"/>
    <n v="10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1"/>
    <s v="Sara Lee"/>
    <s v="Sticky Notes"/>
    <s v="Stationery"/>
    <s v="Uptown Store"/>
    <x v="1"/>
    <n v="1"/>
    <n v="3.49"/>
    <n v="3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2"/>
    <s v="Carlos Diaz"/>
    <s v="USB-C Cable"/>
    <s v="Electronics"/>
    <s v="Downtown Store"/>
    <x v="2"/>
    <n v="2"/>
    <n v="9.99"/>
    <n v="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2"/>
    <s v="Anna White"/>
    <s v="Pen Set"/>
    <s v="Stationery"/>
    <s v="Downtown Store"/>
    <x v="2"/>
    <n v="4"/>
    <n v="12.99"/>
    <n v="51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3"/>
    <s v="David Kim"/>
    <s v="Sticky Notes"/>
    <s v="Stationery"/>
    <s v="Uptown Store"/>
    <x v="1"/>
    <n v="2"/>
    <n v="3.49"/>
    <n v="6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4"/>
    <s v="John Smith"/>
    <s v="Office Chair"/>
    <s v="Furniture"/>
    <s v="Westside Store"/>
    <x v="0"/>
    <n v="1"/>
    <n v="149.5"/>
    <n v="149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4"/>
    <s v="Mike Johnson"/>
    <s v="Notebook Pack"/>
    <s v="Stationery"/>
    <s v="Southside Store"/>
    <x v="3"/>
    <n v="3"/>
    <n v="4.25"/>
    <n v="12.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4"/>
    <s v="Jane Doe"/>
    <s v="Desk Lamp"/>
    <s v="Furniture"/>
    <s v="Uptown Store"/>
    <x v="1"/>
    <n v="3"/>
    <n v="24.99"/>
    <n v="74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5"/>
    <s v="Jane Doe"/>
    <s v="Notebook Pack"/>
    <s v="Stationery"/>
    <s v="Southside Store"/>
    <x v="3"/>
    <n v="3"/>
    <n v="4.25"/>
    <n v="12.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5"/>
    <s v="Tom Brown"/>
    <s v="USB-C Cable"/>
    <s v="Electronics"/>
    <s v="Uptown Store"/>
    <x v="1"/>
    <n v="3"/>
    <n v="9.99"/>
    <n v="2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5"/>
    <s v="John Smith"/>
    <s v="USB-C Cable"/>
    <s v="Electronics"/>
    <s v="Uptown Store"/>
    <x v="1"/>
    <n v="2"/>
    <n v="9.99"/>
    <n v="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6"/>
    <s v="John Smith"/>
    <s v="Sticky Notes"/>
    <s v="Stationery"/>
    <s v="Southside Store"/>
    <x v="3"/>
    <n v="2"/>
    <n v="3.49"/>
    <n v="6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6"/>
    <s v="Mike Johnson"/>
    <s v="Desk Lamp"/>
    <s v="Furniture"/>
    <s v="Downtown Store"/>
    <x v="2"/>
    <n v="2"/>
    <n v="24.99"/>
    <n v="4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6"/>
    <s v="Sara Lee"/>
    <s v="Standing Desk"/>
    <s v="Furniture"/>
    <s v="Downtown Store"/>
    <x v="2"/>
    <n v="3"/>
    <n v="299"/>
    <n v="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7"/>
    <s v="Sara Lee"/>
    <s v="Pen Set"/>
    <s v="Stationery"/>
    <s v="Downtown Store"/>
    <x v="2"/>
    <n v="1"/>
    <n v="12.99"/>
    <n v="1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8"/>
    <s v="Mike Johnson"/>
    <s v="Notebook Pack"/>
    <s v="Stationery"/>
    <s v="Westside Store"/>
    <x v="0"/>
    <n v="1"/>
    <n v="4.25"/>
    <n v="4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8"/>
    <s v="Mike Johnson"/>
    <s v="Wireless Mouse"/>
    <s v="Electronics"/>
    <s v="Southside Store"/>
    <x v="3"/>
    <n v="4"/>
    <n v="19.989999999999998"/>
    <n v="79.95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8"/>
    <s v="John Smith"/>
    <s v="Pen Set"/>
    <s v="Stationery"/>
    <s v="Uptown Store"/>
    <x v="1"/>
    <n v="1"/>
    <n v="12.99"/>
    <n v="1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09"/>
    <s v="Sara Lee"/>
    <s v="Standing Desk"/>
    <s v="Furniture"/>
    <s v="Westside Store"/>
    <x v="0"/>
    <n v="3"/>
    <n v="299"/>
    <n v="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0"/>
    <s v="Priya Patel"/>
    <s v="Sticky Notes"/>
    <s v="Stationery"/>
    <s v="Downtown Store"/>
    <x v="2"/>
    <n v="3"/>
    <n v="3.49"/>
    <n v="10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0"/>
    <s v="Sara Lee"/>
    <s v="Office Chair"/>
    <s v="Furniture"/>
    <s v="Southside Store"/>
    <x v="3"/>
    <n v="3"/>
    <n v="149.5"/>
    <n v="44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1"/>
    <s v="Carlos Diaz"/>
    <s v="Wireless Mouse"/>
    <s v="Electronics"/>
    <s v="Downtown Store"/>
    <x v="2"/>
    <n v="3"/>
    <n v="19.989999999999998"/>
    <n v="5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2"/>
    <s v="Sara Lee"/>
    <s v="Pen Set"/>
    <s v="Stationery"/>
    <s v="Uptown Store"/>
    <x v="1"/>
    <n v="4"/>
    <n v="12.99"/>
    <n v="51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3"/>
    <s v="Anna White"/>
    <s v="Desk Lamp"/>
    <s v="Furniture"/>
    <s v="Westside Store"/>
    <x v="0"/>
    <n v="3"/>
    <n v="24.99"/>
    <n v="74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3"/>
    <s v="Tom Brown"/>
    <s v="Standing Desk"/>
    <s v="Furniture"/>
    <s v="Southside Store"/>
    <x v="3"/>
    <n v="1"/>
    <n v="299"/>
    <n v="2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3"/>
    <s v="Anna White"/>
    <s v="Standing Desk"/>
    <s v="Furniture"/>
    <s v="Westside Store"/>
    <x v="0"/>
    <n v="4"/>
    <n v="299"/>
    <n v="1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4"/>
    <s v="David Kim"/>
    <s v="Wireless Mouse"/>
    <s v="Electronics"/>
    <s v="Southside Store"/>
    <x v="3"/>
    <n v="4"/>
    <n v="19.989999999999998"/>
    <n v="79.95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4"/>
    <s v="Emily Chen"/>
    <s v="Bluetooth Headphones"/>
    <s v="Electronics"/>
    <s v="Southside Store"/>
    <x v="3"/>
    <n v="3"/>
    <n v="59.99"/>
    <n v="17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5"/>
    <s v="Sara Lee"/>
    <s v="Notebook Pack"/>
    <s v="Stationery"/>
    <s v="Uptown Store"/>
    <x v="1"/>
    <n v="4"/>
    <n v="4.25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6"/>
    <s v="Mike Johnson"/>
    <s v="Office Chair"/>
    <s v="Furniture"/>
    <s v="Downtown Store"/>
    <x v="2"/>
    <n v="3"/>
    <n v="149.5"/>
    <n v="44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7"/>
    <s v="Sara Lee"/>
    <s v="Pen Set"/>
    <s v="Stationery"/>
    <s v="Southside Store"/>
    <x v="3"/>
    <n v="1"/>
    <n v="12.99"/>
    <n v="1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7"/>
    <s v="David Kim"/>
    <s v="Sticky Notes"/>
    <s v="Stationery"/>
    <s v="Downtown Store"/>
    <x v="2"/>
    <n v="4"/>
    <n v="3.49"/>
    <n v="13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18"/>
    <s v="Carlos Diaz"/>
    <s v="Bluetooth Headphones"/>
    <s v="Electronics"/>
    <s v="Downtown Store"/>
    <x v="2"/>
    <n v="3"/>
    <n v="59.99"/>
    <n v="17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0"/>
    <s v="Priya Patel"/>
    <s v="Notebook Pack"/>
    <s v="Stationery"/>
    <s v="Downtown Store"/>
    <x v="2"/>
    <n v="4"/>
    <n v="4.25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1"/>
    <s v="Tom Brown"/>
    <s v="Standing Desk"/>
    <s v="Furniture"/>
    <s v="Uptown Store"/>
    <x v="1"/>
    <n v="3"/>
    <n v="299"/>
    <n v="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5"/>
    <s v="Sara Lee"/>
    <s v="Office Chair"/>
    <s v="Furniture"/>
    <s v="Southside Store"/>
    <x v="3"/>
    <n v="2"/>
    <n v="149.5"/>
    <n v="2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5"/>
    <s v="Tom Brown"/>
    <s v="USB-C Cable"/>
    <s v="Electronics"/>
    <s v="Uptown Store"/>
    <x v="1"/>
    <n v="2"/>
    <n v="9.99"/>
    <n v="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6"/>
    <s v="John Smith"/>
    <s v="Bluetooth Headphones"/>
    <s v="Electronics"/>
    <s v="Uptown Store"/>
    <x v="1"/>
    <n v="2"/>
    <n v="59.99"/>
    <n v="1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7"/>
    <s v="Mike Johnson"/>
    <s v="USB-C Cable"/>
    <s v="Electronics"/>
    <s v="Southside Store"/>
    <x v="3"/>
    <n v="4"/>
    <n v="9.99"/>
    <n v="39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7"/>
    <s v="Tom Brown"/>
    <s v="Office Chair"/>
    <s v="Furniture"/>
    <s v="Southside Store"/>
    <x v="3"/>
    <n v="4"/>
    <n v="149.5"/>
    <n v="5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8"/>
    <s v="Carlos Diaz"/>
    <s v="Desk Lamp"/>
    <s v="Furniture"/>
    <s v="Southside Store"/>
    <x v="3"/>
    <n v="1"/>
    <n v="24.99"/>
    <n v="24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8"/>
    <s v="Tom Brown"/>
    <s v="USB-C Cable"/>
    <s v="Electronics"/>
    <s v="Downtown Store"/>
    <x v="2"/>
    <n v="4"/>
    <n v="9.99"/>
    <n v="39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8"/>
    <s v="Anna White"/>
    <s v="Wireless Mouse"/>
    <s v="Electronics"/>
    <s v="Uptown Store"/>
    <x v="1"/>
    <n v="4"/>
    <n v="19.989999999999998"/>
    <n v="79.95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9"/>
    <s v="Jane Doe"/>
    <s v="Wireless Mouse"/>
    <s v="Electronics"/>
    <s v="Downtown Store"/>
    <x v="2"/>
    <n v="2"/>
    <n v="19.989999999999998"/>
    <n v="39.97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9"/>
    <s v="Carlos Diaz"/>
    <s v="Desk Lamp"/>
    <s v="Furniture"/>
    <s v="Downtown Store"/>
    <x v="2"/>
    <n v="2"/>
    <n v="24.99"/>
    <n v="4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9"/>
    <s v="Sara Lee"/>
    <s v="Notebook Pack"/>
    <s v="Stationery"/>
    <s v="Westside Store"/>
    <x v="0"/>
    <n v="1"/>
    <n v="4.25"/>
    <n v="4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29"/>
    <s v="Priya Patel"/>
    <s v="USB-C Cable"/>
    <s v="Electronics"/>
    <s v="Downtown Store"/>
    <x v="2"/>
    <n v="4"/>
    <n v="9.99"/>
    <n v="39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30"/>
    <s v="Anna White"/>
    <s v="Bluetooth Headphones"/>
    <s v="Electronics"/>
    <s v="Uptown Store"/>
    <x v="1"/>
    <n v="1"/>
    <n v="59.99"/>
    <n v="5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31"/>
    <s v="Sara Lee"/>
    <s v="Office Chair"/>
    <s v="Furniture"/>
    <s v="Uptown Store"/>
    <x v="1"/>
    <n v="2"/>
    <n v="149.5"/>
    <n v="2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31"/>
    <s v="Anna White"/>
    <s v="Pen Set"/>
    <s v="Stationery"/>
    <s v="Uptown Store"/>
    <x v="1"/>
    <n v="4"/>
    <n v="12.99"/>
    <n v="51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31"/>
    <s v="John Smith"/>
    <s v="Office Chair"/>
    <s v="Furniture"/>
    <s v="Downtown Store"/>
    <x v="2"/>
    <n v="1"/>
    <n v="149.5"/>
    <n v="149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1-31"/>
    <s v="Priya Patel"/>
    <s v="Notebook Pack"/>
    <s v="Stationery"/>
    <s v="Westside Store"/>
    <x v="0"/>
    <n v="4"/>
    <n v="4.25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1"/>
    <s v="Carlos Diaz"/>
    <s v="Notebook Pack"/>
    <s v="Stationery"/>
    <s v="Uptown Store"/>
    <x v="1"/>
    <n v="1"/>
    <n v="4.25"/>
    <n v="4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1"/>
    <s v="Tom Brown"/>
    <s v="Desk Lamp"/>
    <s v="Furniture"/>
    <s v="Uptown Store"/>
    <x v="1"/>
    <n v="4"/>
    <n v="24.99"/>
    <n v="99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3"/>
    <s v="Priya Patel"/>
    <s v="Office Chair"/>
    <s v="Furniture"/>
    <s v="Southside Store"/>
    <x v="3"/>
    <n v="4"/>
    <n v="149.5"/>
    <n v="5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4"/>
    <s v="Sara Lee"/>
    <s v="Desk Lamp"/>
    <s v="Furniture"/>
    <s v="Uptown Store"/>
    <x v="1"/>
    <n v="1"/>
    <n v="24.99"/>
    <n v="24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4"/>
    <s v="Jane Doe"/>
    <s v="Office Chair"/>
    <s v="Furniture"/>
    <s v="Southside Store"/>
    <x v="3"/>
    <n v="2"/>
    <n v="149.5"/>
    <n v="2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5"/>
    <s v="Carlos Diaz"/>
    <s v="Office Chair"/>
    <s v="Furniture"/>
    <s v="Downtown Store"/>
    <x v="2"/>
    <n v="4"/>
    <n v="149.5"/>
    <n v="5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7"/>
    <s v="Mike Johnson"/>
    <s v="Wireless Mouse"/>
    <s v="Electronics"/>
    <s v="Downtown Store"/>
    <x v="2"/>
    <n v="3"/>
    <n v="19.989999999999998"/>
    <n v="5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7"/>
    <s v="Mike Johnson"/>
    <s v="Notebook Pack"/>
    <s v="Stationery"/>
    <s v="Uptown Store"/>
    <x v="1"/>
    <n v="3"/>
    <n v="4.25"/>
    <n v="12.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8"/>
    <s v="Emily Chen"/>
    <s v="Desk Lamp"/>
    <s v="Furniture"/>
    <s v="Westside Store"/>
    <x v="0"/>
    <n v="3"/>
    <n v="24.99"/>
    <n v="74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8"/>
    <s v="Anna White"/>
    <s v="Notebook Pack"/>
    <s v="Stationery"/>
    <s v="Uptown Store"/>
    <x v="1"/>
    <n v="4"/>
    <n v="4.25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8"/>
    <s v="John Smith"/>
    <s v="Sticky Notes"/>
    <s v="Stationery"/>
    <s v="Uptown Store"/>
    <x v="1"/>
    <n v="3"/>
    <n v="3.49"/>
    <n v="10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09"/>
    <s v="Anna White"/>
    <s v="Standing Desk"/>
    <s v="Furniture"/>
    <s v="Westside Store"/>
    <x v="0"/>
    <n v="4"/>
    <n v="299"/>
    <n v="1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0"/>
    <s v="Emily Chen"/>
    <s v="USB-C Cable"/>
    <s v="Electronics"/>
    <s v="Uptown Store"/>
    <x v="1"/>
    <n v="2"/>
    <n v="9.99"/>
    <n v="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2"/>
    <s v="Priya Patel"/>
    <s v="Desk Lamp"/>
    <s v="Furniture"/>
    <s v="Uptown Store"/>
    <x v="1"/>
    <n v="4"/>
    <n v="24.99"/>
    <n v="99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3"/>
    <s v="Anna White"/>
    <s v="Desk Lamp"/>
    <s v="Furniture"/>
    <s v="Westside Store"/>
    <x v="0"/>
    <n v="3"/>
    <n v="24.99"/>
    <n v="74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3"/>
    <s v="Jane Doe"/>
    <s v="Office Chair"/>
    <s v="Furniture"/>
    <s v="Uptown Store"/>
    <x v="1"/>
    <n v="2"/>
    <n v="149.5"/>
    <n v="2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5"/>
    <s v="Sara Lee"/>
    <s v="Standing Desk"/>
    <s v="Furniture"/>
    <s v="Southside Store"/>
    <x v="3"/>
    <n v="3"/>
    <n v="299"/>
    <n v="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6"/>
    <s v="Carlos Diaz"/>
    <s v="Bluetooth Headphones"/>
    <s v="Electronics"/>
    <s v="Westside Store"/>
    <x v="0"/>
    <n v="2"/>
    <n v="59.99"/>
    <n v="1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7"/>
    <s v="Priya Patel"/>
    <s v="Sticky Notes"/>
    <s v="Stationery"/>
    <s v="Downtown Store"/>
    <x v="2"/>
    <n v="3"/>
    <n v="3.49"/>
    <n v="10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7"/>
    <s v="Priya Patel"/>
    <s v="USB-C Cable"/>
    <s v="Electronics"/>
    <s v="Uptown Store"/>
    <x v="1"/>
    <n v="3"/>
    <n v="9.99"/>
    <n v="2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8"/>
    <s v="Tom Brown"/>
    <s v="Office Chair"/>
    <s v="Furniture"/>
    <s v="Westside Store"/>
    <x v="0"/>
    <n v="3"/>
    <n v="149.5"/>
    <n v="44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8"/>
    <s v="John Smith"/>
    <s v="Pen Set"/>
    <s v="Stationery"/>
    <s v="Uptown Store"/>
    <x v="1"/>
    <n v="2"/>
    <n v="12.99"/>
    <n v="25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8"/>
    <s v="David Kim"/>
    <s v="Pen Set"/>
    <s v="Stationery"/>
    <s v="Southside Store"/>
    <x v="3"/>
    <n v="1"/>
    <n v="12.99"/>
    <n v="1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19"/>
    <s v="Tom Brown"/>
    <s v="Notebook Pack"/>
    <s v="Stationery"/>
    <s v="Uptown Store"/>
    <x v="1"/>
    <n v="4"/>
    <n v="4.25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0"/>
    <s v="Mike Johnson"/>
    <s v="USB-C Cable"/>
    <s v="Electronics"/>
    <s v="Uptown Store"/>
    <x v="1"/>
    <n v="1"/>
    <n v="9.99"/>
    <n v="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1"/>
    <s v="Sara Lee"/>
    <s v="Sticky Notes"/>
    <s v="Stationery"/>
    <s v="Uptown Store"/>
    <x v="1"/>
    <n v="2"/>
    <n v="3.49"/>
    <n v="6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1"/>
    <s v="Mike Johnson"/>
    <s v="Bluetooth Headphones"/>
    <s v="Electronics"/>
    <s v="Downtown Store"/>
    <x v="2"/>
    <n v="1"/>
    <n v="59.99"/>
    <n v="5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1"/>
    <s v="Carlos Diaz"/>
    <s v="USB-C Cable"/>
    <s v="Electronics"/>
    <s v="Downtown Store"/>
    <x v="2"/>
    <n v="2"/>
    <n v="9.99"/>
    <n v="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2"/>
    <s v="John Smith"/>
    <s v="Bluetooth Headphones"/>
    <s v="Electronics"/>
    <s v="Southside Store"/>
    <x v="3"/>
    <n v="4"/>
    <n v="59.99"/>
    <n v="239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3"/>
    <s v="Anna White"/>
    <s v="Bluetooth Headphones"/>
    <s v="Electronics"/>
    <s v="Southside Store"/>
    <x v="3"/>
    <n v="4"/>
    <n v="59.99"/>
    <n v="239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3"/>
    <s v="Anna White"/>
    <s v="Standing Desk"/>
    <s v="Furniture"/>
    <s v="Westside Store"/>
    <x v="0"/>
    <n v="4"/>
    <n v="299"/>
    <n v="1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4"/>
    <s v="Emily Chen"/>
    <s v="Pen Set"/>
    <s v="Stationery"/>
    <s v="Uptown Store"/>
    <x v="1"/>
    <n v="2"/>
    <n v="12.99"/>
    <n v="25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4"/>
    <s v="Mike Johnson"/>
    <s v="Bluetooth Headphones"/>
    <s v="Electronics"/>
    <s v="Westside Store"/>
    <x v="0"/>
    <n v="1"/>
    <n v="59.99"/>
    <n v="5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4"/>
    <s v="Emily Chen"/>
    <s v="Standing Desk"/>
    <s v="Furniture"/>
    <s v="Southside Store"/>
    <x v="3"/>
    <n v="4"/>
    <n v="299"/>
    <n v="1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5"/>
    <s v="David Kim"/>
    <s v="Desk Lamp"/>
    <s v="Furniture"/>
    <s v="Southside Store"/>
    <x v="3"/>
    <n v="2"/>
    <n v="24.99"/>
    <n v="4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5"/>
    <s v="David Kim"/>
    <s v="Sticky Notes"/>
    <s v="Stationery"/>
    <s v="Downtown Store"/>
    <x v="2"/>
    <n v="4"/>
    <n v="3.49"/>
    <n v="13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5"/>
    <s v="Jane Doe"/>
    <s v="Standing Desk"/>
    <s v="Furniture"/>
    <s v="Southside Store"/>
    <x v="3"/>
    <n v="1"/>
    <n v="299"/>
    <n v="2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5"/>
    <s v="David Kim"/>
    <s v="Standing Desk"/>
    <s v="Furniture"/>
    <s v="Westside Store"/>
    <x v="0"/>
    <n v="4"/>
    <n v="299"/>
    <n v="1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6"/>
    <s v="Mike Johnson"/>
    <s v="Sticky Notes"/>
    <s v="Stationery"/>
    <s v="Westside Store"/>
    <x v="0"/>
    <n v="2"/>
    <n v="3.49"/>
    <n v="6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8"/>
    <s v="Tom Brown"/>
    <s v="Desk Lamp"/>
    <s v="Furniture"/>
    <s v="Uptown Store"/>
    <x v="1"/>
    <n v="2"/>
    <n v="24.99"/>
    <n v="4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8"/>
    <s v="Emily Chen"/>
    <s v="USB-C Cable"/>
    <s v="Electronics"/>
    <s v="Westside Store"/>
    <x v="0"/>
    <n v="1"/>
    <n v="9.99"/>
    <n v="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8"/>
    <s v="Anna White"/>
    <s v="Office Chair"/>
    <s v="Furniture"/>
    <s v="Westside Store"/>
    <x v="0"/>
    <n v="4"/>
    <n v="149.5"/>
    <n v="5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9"/>
    <s v="Emily Chen"/>
    <s v="Sticky Notes"/>
    <s v="Stationery"/>
    <s v="Southside Store"/>
    <x v="3"/>
    <n v="4"/>
    <n v="3.49"/>
    <n v="13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9"/>
    <s v="Anna White"/>
    <s v="Desk Lamp"/>
    <s v="Furniture"/>
    <s v="Uptown Store"/>
    <x v="1"/>
    <n v="3"/>
    <n v="24.99"/>
    <n v="74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2-29"/>
    <s v="John Smith"/>
    <s v="USB-C Cable"/>
    <s v="Electronics"/>
    <s v="Downtown Store"/>
    <x v="2"/>
    <n v="4"/>
    <n v="9.99"/>
    <n v="39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1"/>
    <s v="Jane Doe"/>
    <s v="Office Chair"/>
    <s v="Furniture"/>
    <s v="Westside Store"/>
    <x v="0"/>
    <n v="3"/>
    <n v="149.5"/>
    <n v="44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1"/>
    <s v="Carlos Diaz"/>
    <s v="Pen Set"/>
    <s v="Stationery"/>
    <s v="Southside Store"/>
    <x v="3"/>
    <n v="2"/>
    <n v="12.99"/>
    <n v="25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1"/>
    <s v="Carlos Diaz"/>
    <s v="Desk Lamp"/>
    <s v="Furniture"/>
    <s v="Uptown Store"/>
    <x v="1"/>
    <n v="3"/>
    <n v="24.99"/>
    <n v="74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3"/>
    <s v="Jane Doe"/>
    <s v="Sticky Notes"/>
    <s v="Stationery"/>
    <s v="Uptown Store"/>
    <x v="1"/>
    <n v="2"/>
    <n v="3.49"/>
    <n v="6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3"/>
    <s v="John Smith"/>
    <s v="USB-C Cable"/>
    <s v="Electronics"/>
    <s v="Southside Store"/>
    <x v="3"/>
    <n v="3"/>
    <n v="9.99"/>
    <n v="2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4"/>
    <s v="Tom Brown"/>
    <s v="Bluetooth Headphones"/>
    <s v="Electronics"/>
    <s v="Westside Store"/>
    <x v="0"/>
    <n v="2"/>
    <n v="59.99"/>
    <n v="1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5"/>
    <s v="Carlos Diaz"/>
    <s v="Desk Lamp"/>
    <s v="Furniture"/>
    <s v="Downtown Store"/>
    <x v="2"/>
    <n v="1"/>
    <n v="24.99"/>
    <n v="24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5"/>
    <s v="Sara Lee"/>
    <s v="Bluetooth Headphones"/>
    <s v="Electronics"/>
    <s v="Southside Store"/>
    <x v="3"/>
    <n v="1"/>
    <n v="59.99"/>
    <n v="5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5"/>
    <s v="David Kim"/>
    <s v="Wireless Mouse"/>
    <s v="Electronics"/>
    <s v="Uptown Store"/>
    <x v="1"/>
    <n v="4"/>
    <n v="19.989999999999998"/>
    <n v="79.95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6"/>
    <s v="Carlos Diaz"/>
    <s v="USB-C Cable"/>
    <s v="Electronics"/>
    <s v="Downtown Store"/>
    <x v="2"/>
    <n v="1"/>
    <n v="9.99"/>
    <n v="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6"/>
    <s v="Jane Doe"/>
    <s v="Bluetooth Headphones"/>
    <s v="Electronics"/>
    <s v="Downtown Store"/>
    <x v="2"/>
    <n v="1"/>
    <n v="59.99"/>
    <n v="5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7"/>
    <s v="Carlos Diaz"/>
    <s v="Office Chair"/>
    <s v="Furniture"/>
    <s v="Southside Store"/>
    <x v="3"/>
    <n v="4"/>
    <n v="149.5"/>
    <n v="5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7"/>
    <s v="Sara Lee"/>
    <s v="Sticky Notes"/>
    <s v="Stationery"/>
    <s v="Westside Store"/>
    <x v="0"/>
    <n v="4"/>
    <n v="3.49"/>
    <n v="13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8"/>
    <s v="David Kim"/>
    <s v="Notebook Pack"/>
    <s v="Stationery"/>
    <s v="Uptown Store"/>
    <x v="1"/>
    <n v="2"/>
    <n v="4.25"/>
    <n v="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9"/>
    <s v="Anna White"/>
    <s v="Standing Desk"/>
    <s v="Furniture"/>
    <s v="Downtown Store"/>
    <x v="2"/>
    <n v="3"/>
    <n v="299"/>
    <n v="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09"/>
    <s v="Carlos Diaz"/>
    <s v="Bluetooth Headphones"/>
    <s v="Electronics"/>
    <s v="Westside Store"/>
    <x v="0"/>
    <n v="2"/>
    <n v="59.99"/>
    <n v="1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0"/>
    <s v="Sara Lee"/>
    <s v="Sticky Notes"/>
    <s v="Stationery"/>
    <s v="Downtown Store"/>
    <x v="2"/>
    <n v="3"/>
    <n v="3.49"/>
    <n v="10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1"/>
    <s v="Anna White"/>
    <s v="Sticky Notes"/>
    <s v="Stationery"/>
    <s v="Downtown Store"/>
    <x v="2"/>
    <n v="1"/>
    <n v="3.49"/>
    <n v="3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1"/>
    <s v="Jane Doe"/>
    <s v="Wireless Mouse"/>
    <s v="Electronics"/>
    <s v="Downtown Store"/>
    <x v="2"/>
    <n v="1"/>
    <n v="19.989999999999998"/>
    <n v="19.98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1"/>
    <s v="John Smith"/>
    <s v="Desk Lamp"/>
    <s v="Furniture"/>
    <s v="Southside Store"/>
    <x v="3"/>
    <n v="2"/>
    <n v="24.99"/>
    <n v="4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1"/>
    <s v="Sara Lee"/>
    <s v="Standing Desk"/>
    <s v="Furniture"/>
    <s v="Uptown Store"/>
    <x v="1"/>
    <n v="1"/>
    <n v="299"/>
    <n v="2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2"/>
    <s v="Mike Johnson"/>
    <s v="USB-C Cable"/>
    <s v="Electronics"/>
    <s v="Westside Store"/>
    <x v="0"/>
    <n v="2"/>
    <n v="9.99"/>
    <n v="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2"/>
    <s v="John Smith"/>
    <s v="Sticky Notes"/>
    <s v="Stationery"/>
    <s v="Uptown Store"/>
    <x v="1"/>
    <n v="1"/>
    <n v="3.49"/>
    <n v="3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3"/>
    <s v="David Kim"/>
    <s v="Notebook Pack"/>
    <s v="Stationery"/>
    <s v="Southside Store"/>
    <x v="3"/>
    <n v="1"/>
    <n v="4.25"/>
    <n v="4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4"/>
    <s v="Anna White"/>
    <s v="Pen Set"/>
    <s v="Stationery"/>
    <s v="Downtown Store"/>
    <x v="2"/>
    <n v="3"/>
    <n v="12.99"/>
    <n v="38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4"/>
    <s v="Mike Johnson"/>
    <s v="Desk Lamp"/>
    <s v="Furniture"/>
    <s v="Downtown Store"/>
    <x v="2"/>
    <n v="4"/>
    <n v="24.99"/>
    <n v="99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5"/>
    <s v="David Kim"/>
    <s v="Wireless Mouse"/>
    <s v="Electronics"/>
    <s v="Downtown Store"/>
    <x v="2"/>
    <n v="4"/>
    <n v="19.989999999999998"/>
    <n v="79.95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5"/>
    <s v="Anna White"/>
    <s v="Standing Desk"/>
    <s v="Furniture"/>
    <s v="Uptown Store"/>
    <x v="1"/>
    <n v="2"/>
    <n v="299"/>
    <n v="5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5"/>
    <s v="Emily Chen"/>
    <s v="Bluetooth Headphones"/>
    <s v="Electronics"/>
    <s v="Westside Store"/>
    <x v="0"/>
    <n v="2"/>
    <n v="59.99"/>
    <n v="1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6"/>
    <s v="David Kim"/>
    <s v="Wireless Mouse"/>
    <s v="Electronics"/>
    <s v="Downtown Store"/>
    <x v="2"/>
    <n v="4"/>
    <n v="19.989999999999998"/>
    <n v="79.95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8"/>
    <s v="Mike Johnson"/>
    <s v="Standing Desk"/>
    <s v="Furniture"/>
    <s v="Uptown Store"/>
    <x v="1"/>
    <n v="3"/>
    <n v="299"/>
    <n v="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19"/>
    <s v="Emily Chen"/>
    <s v="Notebook Pack"/>
    <s v="Stationery"/>
    <s v="Westside Store"/>
    <x v="0"/>
    <n v="2"/>
    <n v="4.25"/>
    <n v="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0"/>
    <s v="Priya Patel"/>
    <s v="Office Chair"/>
    <s v="Furniture"/>
    <s v="Uptown Store"/>
    <x v="1"/>
    <n v="2"/>
    <n v="149.5"/>
    <n v="2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1"/>
    <s v="Sara Lee"/>
    <s v="Sticky Notes"/>
    <s v="Stationery"/>
    <s v="Uptown Store"/>
    <x v="1"/>
    <n v="2"/>
    <n v="3.49"/>
    <n v="6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2"/>
    <s v="Jane Doe"/>
    <s v="Wireless Mouse"/>
    <s v="Electronics"/>
    <s v="Southside Store"/>
    <x v="3"/>
    <n v="2"/>
    <n v="19.989999999999998"/>
    <n v="39.97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2"/>
    <s v="Carlos Diaz"/>
    <s v="USB-C Cable"/>
    <s v="Electronics"/>
    <s v="Downtown Store"/>
    <x v="2"/>
    <n v="3"/>
    <n v="9.99"/>
    <n v="2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2"/>
    <s v="Anna White"/>
    <s v="Desk Lamp"/>
    <s v="Furniture"/>
    <s v="Downtown Store"/>
    <x v="2"/>
    <n v="1"/>
    <n v="24.99"/>
    <n v="24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3"/>
    <s v="Carlos Diaz"/>
    <s v="Pen Set"/>
    <s v="Stationery"/>
    <s v="Downtown Store"/>
    <x v="2"/>
    <n v="1"/>
    <n v="12.99"/>
    <n v="1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4"/>
    <s v="Carlos Diaz"/>
    <s v="Notebook Pack"/>
    <s v="Stationery"/>
    <s v="Westside Store"/>
    <x v="0"/>
    <n v="2"/>
    <n v="4.25"/>
    <n v="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5"/>
    <s v="Carlos Diaz"/>
    <s v="Sticky Notes"/>
    <s v="Stationery"/>
    <s v="Uptown Store"/>
    <x v="1"/>
    <n v="3"/>
    <n v="3.49"/>
    <n v="10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5"/>
    <s v="Jane Doe"/>
    <s v="Desk Lamp"/>
    <s v="Furniture"/>
    <s v="Southside Store"/>
    <x v="3"/>
    <n v="1"/>
    <n v="24.99"/>
    <n v="24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5"/>
    <s v="Jane Doe"/>
    <s v="Bluetooth Headphones"/>
    <s v="Electronics"/>
    <s v="Southside Store"/>
    <x v="3"/>
    <n v="1"/>
    <n v="59.99"/>
    <n v="5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5"/>
    <s v="David Kim"/>
    <s v="Standing Desk"/>
    <s v="Furniture"/>
    <s v="Westside Store"/>
    <x v="0"/>
    <n v="3"/>
    <n v="299"/>
    <n v="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5"/>
    <s v="David Kim"/>
    <s v="Sticky Notes"/>
    <s v="Stationery"/>
    <s v="Southside Store"/>
    <x v="3"/>
    <n v="3"/>
    <n v="3.49"/>
    <n v="10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6"/>
    <s v="Mike Johnson"/>
    <s v="Desk Lamp"/>
    <s v="Furniture"/>
    <s v="Uptown Store"/>
    <x v="1"/>
    <n v="1"/>
    <n v="24.99"/>
    <n v="24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6"/>
    <s v="Carlos Diaz"/>
    <s v="Office Chair"/>
    <s v="Furniture"/>
    <s v="Uptown Store"/>
    <x v="1"/>
    <n v="4"/>
    <n v="149.5"/>
    <n v="5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7"/>
    <s v="Mike Johnson"/>
    <s v="Notebook Pack"/>
    <s v="Stationery"/>
    <s v="Downtown Store"/>
    <x v="2"/>
    <n v="2"/>
    <n v="4.25"/>
    <n v="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28"/>
    <s v="Jane Doe"/>
    <s v="Sticky Notes"/>
    <s v="Stationery"/>
    <s v="Southside Store"/>
    <x v="3"/>
    <n v="3"/>
    <n v="3.49"/>
    <n v="10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30"/>
    <s v="Anna White"/>
    <s v="Standing Desk"/>
    <s v="Furniture"/>
    <s v="Southside Store"/>
    <x v="3"/>
    <n v="2"/>
    <n v="299"/>
    <n v="5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30"/>
    <s v="Jane Doe"/>
    <s v="Bluetooth Headphones"/>
    <s v="Electronics"/>
    <s v="Uptown Store"/>
    <x v="1"/>
    <n v="2"/>
    <n v="59.99"/>
    <n v="11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24-03-30"/>
    <s v="Sara Lee"/>
    <s v="USB-C Cable"/>
    <s v="Electronics"/>
    <s v="Downtown Store"/>
    <x v="2"/>
    <n v="3"/>
    <n v="9.99"/>
    <n v="2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DD49F-81E3-4D0E-8568-B2F8317A994E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92:B103" firstHeaderRow="1" firstDataRow="1" firstDataCol="1"/>
  <pivotFields count="9">
    <pivotField showAll="0"/>
    <pivotField axis="axisRow" showAll="0" sortType="descending">
      <items count="11">
        <item x="0"/>
        <item x="4"/>
        <item x="5"/>
        <item x="2"/>
        <item x="1"/>
        <item x="6"/>
        <item x="7"/>
        <item x="9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dataField="1" numFmtId="164" showAll="0">
      <items count="35">
        <item x="3"/>
        <item x="13"/>
        <item x="6"/>
        <item x="32"/>
        <item x="30"/>
        <item x="2"/>
        <item x="8"/>
        <item x="12"/>
        <item x="21"/>
        <item x="20"/>
        <item x="4"/>
        <item x="1"/>
        <item x="25"/>
        <item x="29"/>
        <item x="9"/>
        <item x="33"/>
        <item x="23"/>
        <item x="26"/>
        <item x="10"/>
        <item x="5"/>
        <item x="16"/>
        <item x="27"/>
        <item x="0"/>
        <item x="14"/>
        <item x="28"/>
        <item x="22"/>
        <item x="7"/>
        <item x="19"/>
        <item x="31"/>
        <item x="17"/>
        <item x="15"/>
        <item x="24"/>
        <item x="11"/>
        <item x="18"/>
        <item t="default"/>
      </items>
    </pivotField>
  </pivotFields>
  <rowFields count="1">
    <field x="1"/>
  </rowFields>
  <rowItems count="11">
    <i>
      <x/>
    </i>
    <i>
      <x v="8"/>
    </i>
    <i>
      <x v="9"/>
    </i>
    <i>
      <x v="1"/>
    </i>
    <i>
      <x v="2"/>
    </i>
    <i>
      <x v="6"/>
    </i>
    <i>
      <x v="4"/>
    </i>
    <i>
      <x v="3"/>
    </i>
    <i>
      <x v="7"/>
    </i>
    <i>
      <x v="5"/>
    </i>
    <i t="grand">
      <x/>
    </i>
  </rowItems>
  <colItems count="1">
    <i/>
  </colItems>
  <dataFields count="1">
    <dataField name="Sum of Total Amount" fld="8" baseField="1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F7864-71BE-4A9D-A04B-981D5A37D774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3:B77" firstHeaderRow="1" firstDataRow="1" firstDataCol="1"/>
  <pivotFields count="9">
    <pivotField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dataField="1"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0A42A-2298-47DE-ACBD-E4A84FC62C6F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5:E61" firstHeaderRow="1" firstDataRow="2" firstDataCol="1" rowPageCount="1" colPageCount="1"/>
  <pivotFields count="9">
    <pivotField axis="axisPage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dataField="1" showAll="0"/>
    <pivotField numFmtId="164" showAll="0"/>
    <pivotField numFmtId="16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Quantity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5FB78-380E-49A0-AC8D-64B59E51579F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5:F46" firstHeaderRow="1" firstDataRow="2" firstDataCol="1"/>
  <pivotFields count="9">
    <pivotField showAll="0"/>
    <pivotField showAll="0"/>
    <pivotField axis="axisRow" showAll="0">
      <items count="10">
        <item x="8"/>
        <item x="0"/>
        <item x="6"/>
        <item x="5"/>
        <item x="4"/>
        <item x="7"/>
        <item x="2"/>
        <item x="3"/>
        <item x="1"/>
        <item t="default"/>
      </items>
    </pivotField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  <pivotField numFmtId="164" showAll="0"/>
    <pivotField dataField="1" numFmtId="164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Amount" fld="8" baseField="0" baseItem="0" numFmtId="164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D58E9-A8C9-4D8C-82CD-343806B968F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7:B23" firstHeaderRow="1" firstDataRow="1" firstDataCol="1"/>
  <pivotFields count="16384"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5F55B-A6C4-4B83-A484-CEBADCB09A1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3" firstHeaderRow="1" firstDataRow="1" firstDataCol="1"/>
  <pivotFields count="9">
    <pivotField showAll="0"/>
    <pivotField showAll="0"/>
    <pivotField axis="axisRow" showAll="0">
      <items count="10">
        <item x="8"/>
        <item x="0"/>
        <item x="6"/>
        <item x="5"/>
        <item x="4"/>
        <item x="7"/>
        <item x="2"/>
        <item x="3"/>
        <item x="1"/>
        <item t="default"/>
      </items>
    </pivotField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numFmtId="164" showAll="0"/>
    <pivotField dataField="1" numFmtId="164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Amount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C6134A-0D64-4DFD-B4AE-2E50C0B87217}" autoFormatId="16" applyNumberFormats="0" applyBorderFormats="0" applyFontFormats="0" applyPatternFormats="0" applyAlignmentFormats="0" applyWidthHeightFormats="0">
  <queryTableRefresh nextId="12">
    <queryTableFields count="11">
      <queryTableField id="1" name="sale_date" tableColumnId="1"/>
      <queryTableField id="2" name="customer_name" tableColumnId="2"/>
      <queryTableField id="3" name="customer_email" tableColumnId="3"/>
      <queryTableField id="4" name="product_name" tableColumnId="4"/>
      <queryTableField id="5" name="category" tableColumnId="5"/>
      <queryTableField id="6" name="store_name" tableColumnId="6"/>
      <queryTableField id="7" name="city" tableColumnId="7"/>
      <queryTableField id="8" name="region" tableColumnId="8"/>
      <queryTableField id="9" name="quantity" tableColumnId="9"/>
      <queryTableField id="10" name="unit_price" tableColumnId="10"/>
      <queryTableField id="11" name="total_amount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I151" totalsRowShown="0">
  <autoFilter ref="A1:I151" xr:uid="{00000000-0009-0000-0100-000001000000}"/>
  <tableColumns count="9">
    <tableColumn id="1" xr3:uid="{00000000-0010-0000-0000-000001000000}" name="Sale Date"/>
    <tableColumn id="2" xr3:uid="{00000000-0010-0000-0000-000002000000}" name="Customer Name"/>
    <tableColumn id="3" xr3:uid="{00000000-0010-0000-0000-000003000000}" name="Product Name"/>
    <tableColumn id="4" xr3:uid="{00000000-0010-0000-0000-000004000000}" name="Category"/>
    <tableColumn id="5" xr3:uid="{00000000-0010-0000-0000-000005000000}" name="Store Name"/>
    <tableColumn id="6" xr3:uid="{00000000-0010-0000-0000-000006000000}" name="Region"/>
    <tableColumn id="7" xr3:uid="{00000000-0010-0000-0000-000007000000}" name="Quantity"/>
    <tableColumn id="8" xr3:uid="{00000000-0010-0000-0000-000008000000}" name="Unit Price"/>
    <tableColumn id="9" xr3:uid="{00000000-0010-0000-0000-000009000000}" name="Total Am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C6BBDA-6033-4A63-9F87-93B4673B5C7C}" name="sample_sales_1" displayName="sample_sales_1" ref="A1:K7" tableType="queryTable" totalsRowShown="0">
  <autoFilter ref="A1:K7" xr:uid="{48C6BBDA-6033-4A63-9F87-93B4673B5C7C}"/>
  <tableColumns count="11">
    <tableColumn id="1" xr3:uid="{0F9B3D78-3228-474F-A9E1-EB8E38407477}" uniqueName="1" name="sale_date" queryTableFieldId="1" dataDxfId="7"/>
    <tableColumn id="2" xr3:uid="{FBD0C127-382C-4AE3-BFE0-47C1C4DF25C1}" uniqueName="2" name="customer_name" queryTableFieldId="2" dataDxfId="6"/>
    <tableColumn id="3" xr3:uid="{C1B7498C-A92F-4E4A-8549-DD23015848EE}" uniqueName="3" name="customer_email" queryTableFieldId="3" dataDxfId="5"/>
    <tableColumn id="4" xr3:uid="{A22AFB05-7DBE-4568-B487-9D1A16138E6E}" uniqueName="4" name="product_name" queryTableFieldId="4" dataDxfId="4"/>
    <tableColumn id="5" xr3:uid="{89B9C237-965A-4DA9-BFEB-2FF50255A856}" uniqueName="5" name="category" queryTableFieldId="5" dataDxfId="3"/>
    <tableColumn id="6" xr3:uid="{16F1E723-8942-40B0-A4FA-6BFDBBE3D226}" uniqueName="6" name="store_name" queryTableFieldId="6" dataDxfId="2"/>
    <tableColumn id="7" xr3:uid="{529F8E8C-0E49-40F0-BF4E-C0333D390608}" uniqueName="7" name="city" queryTableFieldId="7" dataDxfId="1"/>
    <tableColumn id="8" xr3:uid="{2D50B1F7-6547-4640-848D-5B75ED415692}" uniqueName="8" name="region" queryTableFieldId="8" dataDxfId="0"/>
    <tableColumn id="9" xr3:uid="{3C7A6838-6798-4A89-8972-8FB862BB85BB}" uniqueName="9" name="quantity" queryTableFieldId="9"/>
    <tableColumn id="10" xr3:uid="{BDB3B827-286F-4A60-A457-30CA884F352A}" uniqueName="10" name="unit_price" queryTableFieldId="10"/>
    <tableColumn id="11" xr3:uid="{694AD8E3-A1F4-421E-9933-D17DC9D143D6}" uniqueName="11" name="total_amoun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zoomScaleNormal="100" workbookViewId="0">
      <selection activeCell="L11" sqref="L11"/>
    </sheetView>
  </sheetViews>
  <sheetFormatPr defaultColWidth="8.6640625" defaultRowHeight="14.4" x14ac:dyDescent="0.3"/>
  <cols>
    <col min="1" max="1" width="12" customWidth="1"/>
    <col min="2" max="2" width="16" customWidth="1"/>
    <col min="3" max="3" width="20" customWidth="1"/>
    <col min="4" max="4" width="12" customWidth="1"/>
    <col min="5" max="5" width="16" customWidth="1"/>
    <col min="6" max="6" width="12" customWidth="1"/>
    <col min="7" max="7" width="10" customWidth="1"/>
    <col min="8" max="8" width="12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3</v>
      </c>
      <c r="H2" s="3">
        <v>24.99</v>
      </c>
      <c r="I2" s="3">
        <v>74.97</v>
      </c>
    </row>
    <row r="3" spans="1:9" x14ac:dyDescent="0.3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1</v>
      </c>
      <c r="H3" s="3">
        <v>19.989999999999998</v>
      </c>
      <c r="I3" s="3">
        <v>19.989999999999998</v>
      </c>
    </row>
    <row r="4" spans="1:9" x14ac:dyDescent="0.3">
      <c r="A4" s="2" t="s">
        <v>9</v>
      </c>
      <c r="B4" s="2" t="s">
        <v>20</v>
      </c>
      <c r="C4" s="2" t="s">
        <v>21</v>
      </c>
      <c r="D4" s="2" t="s">
        <v>22</v>
      </c>
      <c r="E4" s="2" t="s">
        <v>18</v>
      </c>
      <c r="F4" s="2" t="s">
        <v>19</v>
      </c>
      <c r="G4" s="2">
        <v>3</v>
      </c>
      <c r="H4" s="3">
        <v>3.49</v>
      </c>
      <c r="I4" s="3">
        <v>10.47</v>
      </c>
    </row>
    <row r="5" spans="1:9" x14ac:dyDescent="0.3">
      <c r="A5" s="2" t="s">
        <v>9</v>
      </c>
      <c r="B5" s="2" t="s">
        <v>23</v>
      </c>
      <c r="C5" s="2" t="s">
        <v>21</v>
      </c>
      <c r="D5" s="2" t="s">
        <v>22</v>
      </c>
      <c r="E5" s="2" t="s">
        <v>18</v>
      </c>
      <c r="F5" s="2" t="s">
        <v>19</v>
      </c>
      <c r="G5" s="2">
        <v>1</v>
      </c>
      <c r="H5" s="3">
        <v>3.49</v>
      </c>
      <c r="I5" s="3">
        <v>3.49</v>
      </c>
    </row>
    <row r="6" spans="1:9" x14ac:dyDescent="0.3">
      <c r="A6" s="2" t="s">
        <v>24</v>
      </c>
      <c r="B6" s="2" t="s">
        <v>25</v>
      </c>
      <c r="C6" s="2" t="s">
        <v>26</v>
      </c>
      <c r="D6" s="2" t="s">
        <v>17</v>
      </c>
      <c r="E6" s="2" t="s">
        <v>27</v>
      </c>
      <c r="F6" s="2" t="s">
        <v>28</v>
      </c>
      <c r="G6" s="2">
        <v>2</v>
      </c>
      <c r="H6" s="3">
        <v>9.99</v>
      </c>
      <c r="I6" s="3">
        <v>19.98</v>
      </c>
    </row>
    <row r="7" spans="1:9" x14ac:dyDescent="0.3">
      <c r="A7" s="2" t="s">
        <v>24</v>
      </c>
      <c r="B7" s="2" t="s">
        <v>10</v>
      </c>
      <c r="C7" s="2" t="s">
        <v>29</v>
      </c>
      <c r="D7" s="2" t="s">
        <v>22</v>
      </c>
      <c r="E7" s="2" t="s">
        <v>27</v>
      </c>
      <c r="F7" s="2" t="s">
        <v>28</v>
      </c>
      <c r="G7" s="2">
        <v>4</v>
      </c>
      <c r="H7" s="3">
        <v>12.99</v>
      </c>
      <c r="I7" s="3">
        <v>51.96</v>
      </c>
    </row>
    <row r="8" spans="1:9" x14ac:dyDescent="0.3">
      <c r="A8" s="2" t="s">
        <v>30</v>
      </c>
      <c r="B8" s="2" t="s">
        <v>31</v>
      </c>
      <c r="C8" s="2" t="s">
        <v>21</v>
      </c>
      <c r="D8" s="2" t="s">
        <v>22</v>
      </c>
      <c r="E8" s="2" t="s">
        <v>18</v>
      </c>
      <c r="F8" s="2" t="s">
        <v>19</v>
      </c>
      <c r="G8" s="2">
        <v>2</v>
      </c>
      <c r="H8" s="3">
        <v>3.49</v>
      </c>
      <c r="I8" s="3">
        <v>6.98</v>
      </c>
    </row>
    <row r="9" spans="1:9" x14ac:dyDescent="0.3">
      <c r="A9" s="2" t="s">
        <v>32</v>
      </c>
      <c r="B9" s="2" t="s">
        <v>33</v>
      </c>
      <c r="C9" s="2" t="s">
        <v>34</v>
      </c>
      <c r="D9" s="2" t="s">
        <v>12</v>
      </c>
      <c r="E9" s="2" t="s">
        <v>13</v>
      </c>
      <c r="F9" s="2" t="s">
        <v>14</v>
      </c>
      <c r="G9" s="2">
        <v>1</v>
      </c>
      <c r="H9" s="3">
        <v>149.5</v>
      </c>
      <c r="I9" s="3">
        <v>149.5</v>
      </c>
    </row>
    <row r="10" spans="1:9" x14ac:dyDescent="0.3">
      <c r="A10" s="2" t="s">
        <v>32</v>
      </c>
      <c r="B10" s="2" t="s">
        <v>35</v>
      </c>
      <c r="C10" s="2" t="s">
        <v>36</v>
      </c>
      <c r="D10" s="2" t="s">
        <v>22</v>
      </c>
      <c r="E10" s="2" t="s">
        <v>37</v>
      </c>
      <c r="F10" s="2" t="s">
        <v>38</v>
      </c>
      <c r="G10" s="2">
        <v>3</v>
      </c>
      <c r="H10" s="3">
        <v>4.25</v>
      </c>
      <c r="I10" s="3">
        <v>12.75</v>
      </c>
    </row>
    <row r="11" spans="1:9" x14ac:dyDescent="0.3">
      <c r="A11" s="2" t="s">
        <v>32</v>
      </c>
      <c r="B11" s="2" t="s">
        <v>15</v>
      </c>
      <c r="C11" s="2" t="s">
        <v>11</v>
      </c>
      <c r="D11" s="2" t="s">
        <v>12</v>
      </c>
      <c r="E11" s="2" t="s">
        <v>18</v>
      </c>
      <c r="F11" s="2" t="s">
        <v>19</v>
      </c>
      <c r="G11" s="2">
        <v>3</v>
      </c>
      <c r="H11" s="3">
        <v>24.99</v>
      </c>
      <c r="I11" s="3">
        <v>74.97</v>
      </c>
    </row>
    <row r="12" spans="1:9" x14ac:dyDescent="0.3">
      <c r="A12" s="2" t="s">
        <v>39</v>
      </c>
      <c r="B12" s="2" t="s">
        <v>15</v>
      </c>
      <c r="C12" s="2" t="s">
        <v>36</v>
      </c>
      <c r="D12" s="2" t="s">
        <v>22</v>
      </c>
      <c r="E12" s="2" t="s">
        <v>37</v>
      </c>
      <c r="F12" s="2" t="s">
        <v>38</v>
      </c>
      <c r="G12" s="2">
        <v>3</v>
      </c>
      <c r="H12" s="3">
        <v>4.25</v>
      </c>
      <c r="I12" s="3">
        <v>12.75</v>
      </c>
    </row>
    <row r="13" spans="1:9" x14ac:dyDescent="0.3">
      <c r="A13" s="2" t="s">
        <v>39</v>
      </c>
      <c r="B13" s="2" t="s">
        <v>40</v>
      </c>
      <c r="C13" s="2" t="s">
        <v>26</v>
      </c>
      <c r="D13" s="2" t="s">
        <v>17</v>
      </c>
      <c r="E13" s="2" t="s">
        <v>18</v>
      </c>
      <c r="F13" s="2" t="s">
        <v>19</v>
      </c>
      <c r="G13" s="2">
        <v>3</v>
      </c>
      <c r="H13" s="3">
        <v>9.99</v>
      </c>
      <c r="I13" s="3">
        <v>29.97</v>
      </c>
    </row>
    <row r="14" spans="1:9" x14ac:dyDescent="0.3">
      <c r="A14" s="2" t="s">
        <v>39</v>
      </c>
      <c r="B14" s="2" t="s">
        <v>33</v>
      </c>
      <c r="C14" s="2" t="s">
        <v>26</v>
      </c>
      <c r="D14" s="2" t="s">
        <v>17</v>
      </c>
      <c r="E14" s="2" t="s">
        <v>18</v>
      </c>
      <c r="F14" s="2" t="s">
        <v>19</v>
      </c>
      <c r="G14" s="2">
        <v>2</v>
      </c>
      <c r="H14" s="3">
        <v>9.99</v>
      </c>
      <c r="I14" s="3">
        <v>19.98</v>
      </c>
    </row>
    <row r="15" spans="1:9" x14ac:dyDescent="0.3">
      <c r="A15" s="2" t="s">
        <v>41</v>
      </c>
      <c r="B15" s="2" t="s">
        <v>33</v>
      </c>
      <c r="C15" s="2" t="s">
        <v>21</v>
      </c>
      <c r="D15" s="2" t="s">
        <v>22</v>
      </c>
      <c r="E15" s="2" t="s">
        <v>37</v>
      </c>
      <c r="F15" s="2" t="s">
        <v>38</v>
      </c>
      <c r="G15" s="2">
        <v>2</v>
      </c>
      <c r="H15" s="3">
        <v>3.49</v>
      </c>
      <c r="I15" s="3">
        <v>6.98</v>
      </c>
    </row>
    <row r="16" spans="1:9" x14ac:dyDescent="0.3">
      <c r="A16" s="2" t="s">
        <v>41</v>
      </c>
      <c r="B16" s="2" t="s">
        <v>35</v>
      </c>
      <c r="C16" s="2" t="s">
        <v>11</v>
      </c>
      <c r="D16" s="2" t="s">
        <v>12</v>
      </c>
      <c r="E16" s="2" t="s">
        <v>27</v>
      </c>
      <c r="F16" s="2" t="s">
        <v>28</v>
      </c>
      <c r="G16" s="2">
        <v>2</v>
      </c>
      <c r="H16" s="3">
        <v>24.99</v>
      </c>
      <c r="I16" s="3">
        <v>49.98</v>
      </c>
    </row>
    <row r="17" spans="1:9" x14ac:dyDescent="0.3">
      <c r="A17" s="2" t="s">
        <v>41</v>
      </c>
      <c r="B17" s="2" t="s">
        <v>23</v>
      </c>
      <c r="C17" s="2" t="s">
        <v>42</v>
      </c>
      <c r="D17" s="2" t="s">
        <v>12</v>
      </c>
      <c r="E17" s="2" t="s">
        <v>27</v>
      </c>
      <c r="F17" s="2" t="s">
        <v>28</v>
      </c>
      <c r="G17" s="2">
        <v>3</v>
      </c>
      <c r="H17" s="3">
        <v>299</v>
      </c>
      <c r="I17" s="3">
        <v>897</v>
      </c>
    </row>
    <row r="18" spans="1:9" x14ac:dyDescent="0.3">
      <c r="A18" s="2" t="s">
        <v>43</v>
      </c>
      <c r="B18" s="2" t="s">
        <v>23</v>
      </c>
      <c r="C18" s="2" t="s">
        <v>29</v>
      </c>
      <c r="D18" s="2" t="s">
        <v>22</v>
      </c>
      <c r="E18" s="2" t="s">
        <v>27</v>
      </c>
      <c r="F18" s="2" t="s">
        <v>28</v>
      </c>
      <c r="G18" s="2">
        <v>1</v>
      </c>
      <c r="H18" s="3">
        <v>12.99</v>
      </c>
      <c r="I18" s="3">
        <v>12.99</v>
      </c>
    </row>
    <row r="19" spans="1:9" x14ac:dyDescent="0.3">
      <c r="A19" s="2" t="s">
        <v>44</v>
      </c>
      <c r="B19" s="2" t="s">
        <v>35</v>
      </c>
      <c r="C19" s="2" t="s">
        <v>36</v>
      </c>
      <c r="D19" s="2" t="s">
        <v>22</v>
      </c>
      <c r="E19" s="2" t="s">
        <v>13</v>
      </c>
      <c r="F19" s="2" t="s">
        <v>14</v>
      </c>
      <c r="G19" s="2">
        <v>1</v>
      </c>
      <c r="H19" s="3">
        <v>4.25</v>
      </c>
      <c r="I19" s="3">
        <v>4.25</v>
      </c>
    </row>
    <row r="20" spans="1:9" x14ac:dyDescent="0.3">
      <c r="A20" s="2" t="s">
        <v>44</v>
      </c>
      <c r="B20" s="2" t="s">
        <v>35</v>
      </c>
      <c r="C20" s="2" t="s">
        <v>16</v>
      </c>
      <c r="D20" s="2" t="s">
        <v>17</v>
      </c>
      <c r="E20" s="2" t="s">
        <v>37</v>
      </c>
      <c r="F20" s="2" t="s">
        <v>38</v>
      </c>
      <c r="G20" s="2">
        <v>4</v>
      </c>
      <c r="H20" s="3">
        <v>19.989999999999998</v>
      </c>
      <c r="I20" s="3">
        <v>79.959999999999994</v>
      </c>
    </row>
    <row r="21" spans="1:9" x14ac:dyDescent="0.3">
      <c r="A21" s="2" t="s">
        <v>44</v>
      </c>
      <c r="B21" s="2" t="s">
        <v>33</v>
      </c>
      <c r="C21" s="2" t="s">
        <v>29</v>
      </c>
      <c r="D21" s="2" t="s">
        <v>22</v>
      </c>
      <c r="E21" s="2" t="s">
        <v>18</v>
      </c>
      <c r="F21" s="2" t="s">
        <v>19</v>
      </c>
      <c r="G21" s="2">
        <v>1</v>
      </c>
      <c r="H21" s="3">
        <v>12.99</v>
      </c>
      <c r="I21" s="3">
        <v>12.99</v>
      </c>
    </row>
    <row r="22" spans="1:9" x14ac:dyDescent="0.3">
      <c r="A22" s="2" t="s">
        <v>45</v>
      </c>
      <c r="B22" s="2" t="s">
        <v>23</v>
      </c>
      <c r="C22" s="2" t="s">
        <v>42</v>
      </c>
      <c r="D22" s="2" t="s">
        <v>12</v>
      </c>
      <c r="E22" s="2" t="s">
        <v>13</v>
      </c>
      <c r="F22" s="2" t="s">
        <v>14</v>
      </c>
      <c r="G22" s="2">
        <v>3</v>
      </c>
      <c r="H22" s="3">
        <v>299</v>
      </c>
      <c r="I22" s="3">
        <v>897</v>
      </c>
    </row>
    <row r="23" spans="1:9" x14ac:dyDescent="0.3">
      <c r="A23" s="2" t="s">
        <v>46</v>
      </c>
      <c r="B23" s="2" t="s">
        <v>47</v>
      </c>
      <c r="C23" s="2" t="s">
        <v>21</v>
      </c>
      <c r="D23" s="2" t="s">
        <v>22</v>
      </c>
      <c r="E23" s="2" t="s">
        <v>27</v>
      </c>
      <c r="F23" s="2" t="s">
        <v>28</v>
      </c>
      <c r="G23" s="2">
        <v>3</v>
      </c>
      <c r="H23" s="3">
        <v>3.49</v>
      </c>
      <c r="I23" s="3">
        <v>10.47</v>
      </c>
    </row>
    <row r="24" spans="1:9" x14ac:dyDescent="0.3">
      <c r="A24" s="2" t="s">
        <v>46</v>
      </c>
      <c r="B24" s="2" t="s">
        <v>23</v>
      </c>
      <c r="C24" s="2" t="s">
        <v>34</v>
      </c>
      <c r="D24" s="2" t="s">
        <v>12</v>
      </c>
      <c r="E24" s="2" t="s">
        <v>37</v>
      </c>
      <c r="F24" s="2" t="s">
        <v>38</v>
      </c>
      <c r="G24" s="2">
        <v>3</v>
      </c>
      <c r="H24" s="3">
        <v>149.5</v>
      </c>
      <c r="I24" s="3">
        <v>448.5</v>
      </c>
    </row>
    <row r="25" spans="1:9" x14ac:dyDescent="0.3">
      <c r="A25" s="2" t="s">
        <v>48</v>
      </c>
      <c r="B25" s="2" t="s">
        <v>25</v>
      </c>
      <c r="C25" s="2" t="s">
        <v>16</v>
      </c>
      <c r="D25" s="2" t="s">
        <v>17</v>
      </c>
      <c r="E25" s="2" t="s">
        <v>27</v>
      </c>
      <c r="F25" s="2" t="s">
        <v>28</v>
      </c>
      <c r="G25" s="2">
        <v>3</v>
      </c>
      <c r="H25" s="3">
        <v>19.989999999999998</v>
      </c>
      <c r="I25" s="3">
        <v>59.97</v>
      </c>
    </row>
    <row r="26" spans="1:9" x14ac:dyDescent="0.3">
      <c r="A26" s="2" t="s">
        <v>49</v>
      </c>
      <c r="B26" s="2" t="s">
        <v>23</v>
      </c>
      <c r="C26" s="2" t="s">
        <v>29</v>
      </c>
      <c r="D26" s="2" t="s">
        <v>22</v>
      </c>
      <c r="E26" s="2" t="s">
        <v>18</v>
      </c>
      <c r="F26" s="2" t="s">
        <v>19</v>
      </c>
      <c r="G26" s="2">
        <v>4</v>
      </c>
      <c r="H26" s="3">
        <v>12.99</v>
      </c>
      <c r="I26" s="3">
        <v>51.96</v>
      </c>
    </row>
    <row r="27" spans="1:9" x14ac:dyDescent="0.3">
      <c r="A27" s="2" t="s">
        <v>50</v>
      </c>
      <c r="B27" s="2" t="s">
        <v>10</v>
      </c>
      <c r="C27" s="2" t="s">
        <v>11</v>
      </c>
      <c r="D27" s="2" t="s">
        <v>12</v>
      </c>
      <c r="E27" s="2" t="s">
        <v>13</v>
      </c>
      <c r="F27" s="2" t="s">
        <v>14</v>
      </c>
      <c r="G27" s="2">
        <v>3</v>
      </c>
      <c r="H27" s="3">
        <v>24.99</v>
      </c>
      <c r="I27" s="3">
        <v>74.97</v>
      </c>
    </row>
    <row r="28" spans="1:9" x14ac:dyDescent="0.3">
      <c r="A28" s="2" t="s">
        <v>50</v>
      </c>
      <c r="B28" s="2" t="s">
        <v>40</v>
      </c>
      <c r="C28" s="2" t="s">
        <v>42</v>
      </c>
      <c r="D28" s="2" t="s">
        <v>12</v>
      </c>
      <c r="E28" s="2" t="s">
        <v>37</v>
      </c>
      <c r="F28" s="2" t="s">
        <v>38</v>
      </c>
      <c r="G28" s="2">
        <v>1</v>
      </c>
      <c r="H28" s="3">
        <v>299</v>
      </c>
      <c r="I28" s="3">
        <v>299</v>
      </c>
    </row>
    <row r="29" spans="1:9" x14ac:dyDescent="0.3">
      <c r="A29" s="2" t="s">
        <v>50</v>
      </c>
      <c r="B29" s="2" t="s">
        <v>10</v>
      </c>
      <c r="C29" s="2" t="s">
        <v>42</v>
      </c>
      <c r="D29" s="2" t="s">
        <v>12</v>
      </c>
      <c r="E29" s="2" t="s">
        <v>13</v>
      </c>
      <c r="F29" s="2" t="s">
        <v>14</v>
      </c>
      <c r="G29" s="2">
        <v>4</v>
      </c>
      <c r="H29" s="3">
        <v>299</v>
      </c>
      <c r="I29" s="3">
        <v>1196</v>
      </c>
    </row>
    <row r="30" spans="1:9" x14ac:dyDescent="0.3">
      <c r="A30" s="2" t="s">
        <v>51</v>
      </c>
      <c r="B30" s="2" t="s">
        <v>31</v>
      </c>
      <c r="C30" s="2" t="s">
        <v>16</v>
      </c>
      <c r="D30" s="2" t="s">
        <v>17</v>
      </c>
      <c r="E30" s="2" t="s">
        <v>37</v>
      </c>
      <c r="F30" s="2" t="s">
        <v>38</v>
      </c>
      <c r="G30" s="2">
        <v>4</v>
      </c>
      <c r="H30" s="3">
        <v>19.989999999999998</v>
      </c>
      <c r="I30" s="3">
        <v>79.959999999999994</v>
      </c>
    </row>
    <row r="31" spans="1:9" x14ac:dyDescent="0.3">
      <c r="A31" s="2" t="s">
        <v>51</v>
      </c>
      <c r="B31" s="2" t="s">
        <v>20</v>
      </c>
      <c r="C31" s="2" t="s">
        <v>52</v>
      </c>
      <c r="D31" s="2" t="s">
        <v>17</v>
      </c>
      <c r="E31" s="2" t="s">
        <v>37</v>
      </c>
      <c r="F31" s="2" t="s">
        <v>38</v>
      </c>
      <c r="G31" s="2">
        <v>3</v>
      </c>
      <c r="H31" s="3">
        <v>59.99</v>
      </c>
      <c r="I31" s="3">
        <v>179.97</v>
      </c>
    </row>
    <row r="32" spans="1:9" x14ac:dyDescent="0.3">
      <c r="A32" s="2" t="s">
        <v>53</v>
      </c>
      <c r="B32" s="2" t="s">
        <v>23</v>
      </c>
      <c r="C32" s="2" t="s">
        <v>36</v>
      </c>
      <c r="D32" s="2" t="s">
        <v>22</v>
      </c>
      <c r="E32" s="2" t="s">
        <v>18</v>
      </c>
      <c r="F32" s="2" t="s">
        <v>19</v>
      </c>
      <c r="G32" s="2">
        <v>4</v>
      </c>
      <c r="H32" s="3">
        <v>4.25</v>
      </c>
      <c r="I32" s="3">
        <v>17</v>
      </c>
    </row>
    <row r="33" spans="1:9" x14ac:dyDescent="0.3">
      <c r="A33" s="2" t="s">
        <v>54</v>
      </c>
      <c r="B33" s="2" t="s">
        <v>35</v>
      </c>
      <c r="C33" s="2" t="s">
        <v>34</v>
      </c>
      <c r="D33" s="2" t="s">
        <v>12</v>
      </c>
      <c r="E33" s="2" t="s">
        <v>27</v>
      </c>
      <c r="F33" s="2" t="s">
        <v>28</v>
      </c>
      <c r="G33" s="2">
        <v>3</v>
      </c>
      <c r="H33" s="3">
        <v>149.5</v>
      </c>
      <c r="I33" s="3">
        <v>448.5</v>
      </c>
    </row>
    <row r="34" spans="1:9" x14ac:dyDescent="0.3">
      <c r="A34" s="2" t="s">
        <v>55</v>
      </c>
      <c r="B34" s="2" t="s">
        <v>23</v>
      </c>
      <c r="C34" s="2" t="s">
        <v>29</v>
      </c>
      <c r="D34" s="2" t="s">
        <v>22</v>
      </c>
      <c r="E34" s="2" t="s">
        <v>37</v>
      </c>
      <c r="F34" s="2" t="s">
        <v>38</v>
      </c>
      <c r="G34" s="2">
        <v>1</v>
      </c>
      <c r="H34" s="3">
        <v>12.99</v>
      </c>
      <c r="I34" s="3">
        <v>12.99</v>
      </c>
    </row>
    <row r="35" spans="1:9" x14ac:dyDescent="0.3">
      <c r="A35" s="2" t="s">
        <v>55</v>
      </c>
      <c r="B35" s="2" t="s">
        <v>31</v>
      </c>
      <c r="C35" s="2" t="s">
        <v>21</v>
      </c>
      <c r="D35" s="2" t="s">
        <v>22</v>
      </c>
      <c r="E35" s="2" t="s">
        <v>27</v>
      </c>
      <c r="F35" s="2" t="s">
        <v>28</v>
      </c>
      <c r="G35" s="2">
        <v>4</v>
      </c>
      <c r="H35" s="3">
        <v>3.49</v>
      </c>
      <c r="I35" s="3">
        <v>13.96</v>
      </c>
    </row>
    <row r="36" spans="1:9" x14ac:dyDescent="0.3">
      <c r="A36" s="2" t="s">
        <v>56</v>
      </c>
      <c r="B36" s="2" t="s">
        <v>25</v>
      </c>
      <c r="C36" s="2" t="s">
        <v>52</v>
      </c>
      <c r="D36" s="2" t="s">
        <v>17</v>
      </c>
      <c r="E36" s="2" t="s">
        <v>27</v>
      </c>
      <c r="F36" s="2" t="s">
        <v>28</v>
      </c>
      <c r="G36" s="2">
        <v>3</v>
      </c>
      <c r="H36" s="3">
        <v>59.99</v>
      </c>
      <c r="I36" s="3">
        <v>179.97</v>
      </c>
    </row>
    <row r="37" spans="1:9" x14ac:dyDescent="0.3">
      <c r="A37" s="2" t="s">
        <v>57</v>
      </c>
      <c r="B37" s="2" t="s">
        <v>47</v>
      </c>
      <c r="C37" s="2" t="s">
        <v>36</v>
      </c>
      <c r="D37" s="2" t="s">
        <v>22</v>
      </c>
      <c r="E37" s="2" t="s">
        <v>27</v>
      </c>
      <c r="F37" s="2" t="s">
        <v>28</v>
      </c>
      <c r="G37" s="2">
        <v>4</v>
      </c>
      <c r="H37" s="3">
        <v>4.25</v>
      </c>
      <c r="I37" s="3">
        <v>17</v>
      </c>
    </row>
    <row r="38" spans="1:9" x14ac:dyDescent="0.3">
      <c r="A38" s="2" t="s">
        <v>58</v>
      </c>
      <c r="B38" s="2" t="s">
        <v>40</v>
      </c>
      <c r="C38" s="2" t="s">
        <v>42</v>
      </c>
      <c r="D38" s="2" t="s">
        <v>12</v>
      </c>
      <c r="E38" s="2" t="s">
        <v>18</v>
      </c>
      <c r="F38" s="2" t="s">
        <v>19</v>
      </c>
      <c r="G38" s="2">
        <v>3</v>
      </c>
      <c r="H38" s="3">
        <v>299</v>
      </c>
      <c r="I38" s="3">
        <v>897</v>
      </c>
    </row>
    <row r="39" spans="1:9" x14ac:dyDescent="0.3">
      <c r="A39" s="2" t="s">
        <v>59</v>
      </c>
      <c r="B39" s="2" t="s">
        <v>23</v>
      </c>
      <c r="C39" s="2" t="s">
        <v>34</v>
      </c>
      <c r="D39" s="2" t="s">
        <v>12</v>
      </c>
      <c r="E39" s="2" t="s">
        <v>37</v>
      </c>
      <c r="F39" s="2" t="s">
        <v>38</v>
      </c>
      <c r="G39" s="2">
        <v>2</v>
      </c>
      <c r="H39" s="3">
        <v>149.5</v>
      </c>
      <c r="I39" s="3">
        <v>299</v>
      </c>
    </row>
    <row r="40" spans="1:9" x14ac:dyDescent="0.3">
      <c r="A40" s="2" t="s">
        <v>59</v>
      </c>
      <c r="B40" s="2" t="s">
        <v>40</v>
      </c>
      <c r="C40" s="2" t="s">
        <v>26</v>
      </c>
      <c r="D40" s="2" t="s">
        <v>17</v>
      </c>
      <c r="E40" s="2" t="s">
        <v>18</v>
      </c>
      <c r="F40" s="2" t="s">
        <v>19</v>
      </c>
      <c r="G40" s="2">
        <v>2</v>
      </c>
      <c r="H40" s="3">
        <v>9.99</v>
      </c>
      <c r="I40" s="3">
        <v>19.98</v>
      </c>
    </row>
    <row r="41" spans="1:9" x14ac:dyDescent="0.3">
      <c r="A41" s="2" t="s">
        <v>60</v>
      </c>
      <c r="B41" s="2" t="s">
        <v>33</v>
      </c>
      <c r="C41" s="2" t="s">
        <v>52</v>
      </c>
      <c r="D41" s="2" t="s">
        <v>17</v>
      </c>
      <c r="E41" s="2" t="s">
        <v>18</v>
      </c>
      <c r="F41" s="2" t="s">
        <v>19</v>
      </c>
      <c r="G41" s="2">
        <v>2</v>
      </c>
      <c r="H41" s="3">
        <v>59.99</v>
      </c>
      <c r="I41" s="3">
        <v>119.98</v>
      </c>
    </row>
    <row r="42" spans="1:9" x14ac:dyDescent="0.3">
      <c r="A42" s="2" t="s">
        <v>61</v>
      </c>
      <c r="B42" s="2" t="s">
        <v>35</v>
      </c>
      <c r="C42" s="2" t="s">
        <v>26</v>
      </c>
      <c r="D42" s="2" t="s">
        <v>17</v>
      </c>
      <c r="E42" s="2" t="s">
        <v>37</v>
      </c>
      <c r="F42" s="2" t="s">
        <v>38</v>
      </c>
      <c r="G42" s="2">
        <v>4</v>
      </c>
      <c r="H42" s="3">
        <v>9.99</v>
      </c>
      <c r="I42" s="3">
        <v>39.96</v>
      </c>
    </row>
    <row r="43" spans="1:9" x14ac:dyDescent="0.3">
      <c r="A43" s="2" t="s">
        <v>61</v>
      </c>
      <c r="B43" s="2" t="s">
        <v>40</v>
      </c>
      <c r="C43" s="2" t="s">
        <v>34</v>
      </c>
      <c r="D43" s="2" t="s">
        <v>12</v>
      </c>
      <c r="E43" s="2" t="s">
        <v>37</v>
      </c>
      <c r="F43" s="2" t="s">
        <v>38</v>
      </c>
      <c r="G43" s="2">
        <v>4</v>
      </c>
      <c r="H43" s="3">
        <v>149.5</v>
      </c>
      <c r="I43" s="3">
        <v>598</v>
      </c>
    </row>
    <row r="44" spans="1:9" x14ac:dyDescent="0.3">
      <c r="A44" s="2" t="s">
        <v>62</v>
      </c>
      <c r="B44" s="2" t="s">
        <v>25</v>
      </c>
      <c r="C44" s="2" t="s">
        <v>11</v>
      </c>
      <c r="D44" s="2" t="s">
        <v>12</v>
      </c>
      <c r="E44" s="2" t="s">
        <v>37</v>
      </c>
      <c r="F44" s="2" t="s">
        <v>38</v>
      </c>
      <c r="G44" s="2">
        <v>1</v>
      </c>
      <c r="H44" s="3">
        <v>24.99</v>
      </c>
      <c r="I44" s="3">
        <v>24.99</v>
      </c>
    </row>
    <row r="45" spans="1:9" x14ac:dyDescent="0.3">
      <c r="A45" s="2" t="s">
        <v>62</v>
      </c>
      <c r="B45" s="2" t="s">
        <v>40</v>
      </c>
      <c r="C45" s="2" t="s">
        <v>26</v>
      </c>
      <c r="D45" s="2" t="s">
        <v>17</v>
      </c>
      <c r="E45" s="2" t="s">
        <v>27</v>
      </c>
      <c r="F45" s="2" t="s">
        <v>28</v>
      </c>
      <c r="G45" s="2">
        <v>4</v>
      </c>
      <c r="H45" s="3">
        <v>9.99</v>
      </c>
      <c r="I45" s="3">
        <v>39.96</v>
      </c>
    </row>
    <row r="46" spans="1:9" x14ac:dyDescent="0.3">
      <c r="A46" s="2" t="s">
        <v>62</v>
      </c>
      <c r="B46" s="2" t="s">
        <v>10</v>
      </c>
      <c r="C46" s="2" t="s">
        <v>16</v>
      </c>
      <c r="D46" s="2" t="s">
        <v>17</v>
      </c>
      <c r="E46" s="2" t="s">
        <v>18</v>
      </c>
      <c r="F46" s="2" t="s">
        <v>19</v>
      </c>
      <c r="G46" s="2">
        <v>4</v>
      </c>
      <c r="H46" s="3">
        <v>19.989999999999998</v>
      </c>
      <c r="I46" s="3">
        <v>79.959999999999994</v>
      </c>
    </row>
    <row r="47" spans="1:9" x14ac:dyDescent="0.3">
      <c r="A47" s="2" t="s">
        <v>63</v>
      </c>
      <c r="B47" s="2" t="s">
        <v>15</v>
      </c>
      <c r="C47" s="2" t="s">
        <v>16</v>
      </c>
      <c r="D47" s="2" t="s">
        <v>17</v>
      </c>
      <c r="E47" s="2" t="s">
        <v>27</v>
      </c>
      <c r="F47" s="2" t="s">
        <v>28</v>
      </c>
      <c r="G47" s="2">
        <v>2</v>
      </c>
      <c r="H47" s="3">
        <v>19.989999999999998</v>
      </c>
      <c r="I47" s="3">
        <v>39.979999999999997</v>
      </c>
    </row>
    <row r="48" spans="1:9" x14ac:dyDescent="0.3">
      <c r="A48" s="2" t="s">
        <v>63</v>
      </c>
      <c r="B48" s="2" t="s">
        <v>25</v>
      </c>
      <c r="C48" s="2" t="s">
        <v>11</v>
      </c>
      <c r="D48" s="2" t="s">
        <v>12</v>
      </c>
      <c r="E48" s="2" t="s">
        <v>27</v>
      </c>
      <c r="F48" s="2" t="s">
        <v>28</v>
      </c>
      <c r="G48" s="2">
        <v>2</v>
      </c>
      <c r="H48" s="3">
        <v>24.99</v>
      </c>
      <c r="I48" s="3">
        <v>49.98</v>
      </c>
    </row>
    <row r="49" spans="1:9" x14ac:dyDescent="0.3">
      <c r="A49" s="2" t="s">
        <v>63</v>
      </c>
      <c r="B49" s="2" t="s">
        <v>23</v>
      </c>
      <c r="C49" s="2" t="s">
        <v>36</v>
      </c>
      <c r="D49" s="2" t="s">
        <v>22</v>
      </c>
      <c r="E49" s="2" t="s">
        <v>13</v>
      </c>
      <c r="F49" s="2" t="s">
        <v>14</v>
      </c>
      <c r="G49" s="2">
        <v>1</v>
      </c>
      <c r="H49" s="3">
        <v>4.25</v>
      </c>
      <c r="I49" s="3">
        <v>4.25</v>
      </c>
    </row>
    <row r="50" spans="1:9" x14ac:dyDescent="0.3">
      <c r="A50" s="2" t="s">
        <v>63</v>
      </c>
      <c r="B50" s="2" t="s">
        <v>47</v>
      </c>
      <c r="C50" s="2" t="s">
        <v>26</v>
      </c>
      <c r="D50" s="2" t="s">
        <v>17</v>
      </c>
      <c r="E50" s="2" t="s">
        <v>27</v>
      </c>
      <c r="F50" s="2" t="s">
        <v>28</v>
      </c>
      <c r="G50" s="2">
        <v>4</v>
      </c>
      <c r="H50" s="3">
        <v>9.99</v>
      </c>
      <c r="I50" s="3">
        <v>39.96</v>
      </c>
    </row>
    <row r="51" spans="1:9" x14ac:dyDescent="0.3">
      <c r="A51" s="2" t="s">
        <v>64</v>
      </c>
      <c r="B51" s="2" t="s">
        <v>10</v>
      </c>
      <c r="C51" s="2" t="s">
        <v>52</v>
      </c>
      <c r="D51" s="2" t="s">
        <v>17</v>
      </c>
      <c r="E51" s="2" t="s">
        <v>18</v>
      </c>
      <c r="F51" s="2" t="s">
        <v>19</v>
      </c>
      <c r="G51" s="2">
        <v>1</v>
      </c>
      <c r="H51" s="3">
        <v>59.99</v>
      </c>
      <c r="I51" s="3">
        <v>59.99</v>
      </c>
    </row>
    <row r="52" spans="1:9" x14ac:dyDescent="0.3">
      <c r="A52" s="2" t="s">
        <v>65</v>
      </c>
      <c r="B52" s="2" t="s">
        <v>23</v>
      </c>
      <c r="C52" s="2" t="s">
        <v>34</v>
      </c>
      <c r="D52" s="2" t="s">
        <v>12</v>
      </c>
      <c r="E52" s="2" t="s">
        <v>18</v>
      </c>
      <c r="F52" s="2" t="s">
        <v>19</v>
      </c>
      <c r="G52" s="2">
        <v>2</v>
      </c>
      <c r="H52" s="3">
        <v>149.5</v>
      </c>
      <c r="I52" s="3">
        <v>299</v>
      </c>
    </row>
    <row r="53" spans="1:9" x14ac:dyDescent="0.3">
      <c r="A53" s="2" t="s">
        <v>65</v>
      </c>
      <c r="B53" s="2" t="s">
        <v>10</v>
      </c>
      <c r="C53" s="2" t="s">
        <v>29</v>
      </c>
      <c r="D53" s="2" t="s">
        <v>22</v>
      </c>
      <c r="E53" s="2" t="s">
        <v>18</v>
      </c>
      <c r="F53" s="2" t="s">
        <v>19</v>
      </c>
      <c r="G53" s="2">
        <v>4</v>
      </c>
      <c r="H53" s="3">
        <v>12.99</v>
      </c>
      <c r="I53" s="3">
        <v>51.96</v>
      </c>
    </row>
    <row r="54" spans="1:9" x14ac:dyDescent="0.3">
      <c r="A54" s="2" t="s">
        <v>65</v>
      </c>
      <c r="B54" s="2" t="s">
        <v>33</v>
      </c>
      <c r="C54" s="2" t="s">
        <v>34</v>
      </c>
      <c r="D54" s="2" t="s">
        <v>12</v>
      </c>
      <c r="E54" s="2" t="s">
        <v>27</v>
      </c>
      <c r="F54" s="2" t="s">
        <v>28</v>
      </c>
      <c r="G54" s="2">
        <v>1</v>
      </c>
      <c r="H54" s="3">
        <v>149.5</v>
      </c>
      <c r="I54" s="3">
        <v>149.5</v>
      </c>
    </row>
    <row r="55" spans="1:9" x14ac:dyDescent="0.3">
      <c r="A55" s="2" t="s">
        <v>65</v>
      </c>
      <c r="B55" s="2" t="s">
        <v>47</v>
      </c>
      <c r="C55" s="2" t="s">
        <v>36</v>
      </c>
      <c r="D55" s="2" t="s">
        <v>22</v>
      </c>
      <c r="E55" s="2" t="s">
        <v>13</v>
      </c>
      <c r="F55" s="2" t="s">
        <v>14</v>
      </c>
      <c r="G55" s="2">
        <v>4</v>
      </c>
      <c r="H55" s="3">
        <v>4.25</v>
      </c>
      <c r="I55" s="3">
        <v>17</v>
      </c>
    </row>
    <row r="56" spans="1:9" x14ac:dyDescent="0.3">
      <c r="A56" s="2" t="s">
        <v>66</v>
      </c>
      <c r="B56" s="2" t="s">
        <v>25</v>
      </c>
      <c r="C56" s="2" t="s">
        <v>36</v>
      </c>
      <c r="D56" s="2" t="s">
        <v>22</v>
      </c>
      <c r="E56" s="2" t="s">
        <v>18</v>
      </c>
      <c r="F56" s="2" t="s">
        <v>19</v>
      </c>
      <c r="G56" s="2">
        <v>1</v>
      </c>
      <c r="H56" s="3">
        <v>4.25</v>
      </c>
      <c r="I56" s="3">
        <v>4.25</v>
      </c>
    </row>
    <row r="57" spans="1:9" x14ac:dyDescent="0.3">
      <c r="A57" s="2" t="s">
        <v>66</v>
      </c>
      <c r="B57" s="2" t="s">
        <v>40</v>
      </c>
      <c r="C57" s="2" t="s">
        <v>11</v>
      </c>
      <c r="D57" s="2" t="s">
        <v>12</v>
      </c>
      <c r="E57" s="2" t="s">
        <v>18</v>
      </c>
      <c r="F57" s="2" t="s">
        <v>19</v>
      </c>
      <c r="G57" s="2">
        <v>4</v>
      </c>
      <c r="H57" s="3">
        <v>24.99</v>
      </c>
      <c r="I57" s="3">
        <v>99.96</v>
      </c>
    </row>
    <row r="58" spans="1:9" x14ac:dyDescent="0.3">
      <c r="A58" s="2" t="s">
        <v>67</v>
      </c>
      <c r="B58" s="2" t="s">
        <v>47</v>
      </c>
      <c r="C58" s="2" t="s">
        <v>34</v>
      </c>
      <c r="D58" s="2" t="s">
        <v>12</v>
      </c>
      <c r="E58" s="2" t="s">
        <v>37</v>
      </c>
      <c r="F58" s="2" t="s">
        <v>38</v>
      </c>
      <c r="G58" s="2">
        <v>4</v>
      </c>
      <c r="H58" s="3">
        <v>149.5</v>
      </c>
      <c r="I58" s="3">
        <v>598</v>
      </c>
    </row>
    <row r="59" spans="1:9" x14ac:dyDescent="0.3">
      <c r="A59" s="2" t="s">
        <v>68</v>
      </c>
      <c r="B59" s="2" t="s">
        <v>23</v>
      </c>
      <c r="C59" s="2" t="s">
        <v>11</v>
      </c>
      <c r="D59" s="2" t="s">
        <v>12</v>
      </c>
      <c r="E59" s="2" t="s">
        <v>18</v>
      </c>
      <c r="F59" s="2" t="s">
        <v>19</v>
      </c>
      <c r="G59" s="2">
        <v>1</v>
      </c>
      <c r="H59" s="3">
        <v>24.99</v>
      </c>
      <c r="I59" s="3">
        <v>24.99</v>
      </c>
    </row>
    <row r="60" spans="1:9" x14ac:dyDescent="0.3">
      <c r="A60" s="2" t="s">
        <v>68</v>
      </c>
      <c r="B60" s="2" t="s">
        <v>15</v>
      </c>
      <c r="C60" s="2" t="s">
        <v>34</v>
      </c>
      <c r="D60" s="2" t="s">
        <v>12</v>
      </c>
      <c r="E60" s="2" t="s">
        <v>37</v>
      </c>
      <c r="F60" s="2" t="s">
        <v>38</v>
      </c>
      <c r="G60" s="2">
        <v>2</v>
      </c>
      <c r="H60" s="3">
        <v>149.5</v>
      </c>
      <c r="I60" s="3">
        <v>299</v>
      </c>
    </row>
    <row r="61" spans="1:9" x14ac:dyDescent="0.3">
      <c r="A61" s="2" t="s">
        <v>69</v>
      </c>
      <c r="B61" s="2" t="s">
        <v>25</v>
      </c>
      <c r="C61" s="2" t="s">
        <v>34</v>
      </c>
      <c r="D61" s="2" t="s">
        <v>12</v>
      </c>
      <c r="E61" s="2" t="s">
        <v>27</v>
      </c>
      <c r="F61" s="2" t="s">
        <v>28</v>
      </c>
      <c r="G61" s="2">
        <v>4</v>
      </c>
      <c r="H61" s="3">
        <v>149.5</v>
      </c>
      <c r="I61" s="3">
        <v>598</v>
      </c>
    </row>
    <row r="62" spans="1:9" x14ac:dyDescent="0.3">
      <c r="A62" s="2" t="s">
        <v>70</v>
      </c>
      <c r="B62" s="2" t="s">
        <v>35</v>
      </c>
      <c r="C62" s="2" t="s">
        <v>16</v>
      </c>
      <c r="D62" s="2" t="s">
        <v>17</v>
      </c>
      <c r="E62" s="2" t="s">
        <v>27</v>
      </c>
      <c r="F62" s="2" t="s">
        <v>28</v>
      </c>
      <c r="G62" s="2">
        <v>3</v>
      </c>
      <c r="H62" s="3">
        <v>19.989999999999998</v>
      </c>
      <c r="I62" s="3">
        <v>59.97</v>
      </c>
    </row>
    <row r="63" spans="1:9" x14ac:dyDescent="0.3">
      <c r="A63" s="2" t="s">
        <v>70</v>
      </c>
      <c r="B63" s="2" t="s">
        <v>35</v>
      </c>
      <c r="C63" s="2" t="s">
        <v>36</v>
      </c>
      <c r="D63" s="2" t="s">
        <v>22</v>
      </c>
      <c r="E63" s="2" t="s">
        <v>18</v>
      </c>
      <c r="F63" s="2" t="s">
        <v>19</v>
      </c>
      <c r="G63" s="2">
        <v>3</v>
      </c>
      <c r="H63" s="3">
        <v>4.25</v>
      </c>
      <c r="I63" s="3">
        <v>12.75</v>
      </c>
    </row>
    <row r="64" spans="1:9" x14ac:dyDescent="0.3">
      <c r="A64" s="2" t="s">
        <v>71</v>
      </c>
      <c r="B64" s="2" t="s">
        <v>20</v>
      </c>
      <c r="C64" s="2" t="s">
        <v>11</v>
      </c>
      <c r="D64" s="2" t="s">
        <v>12</v>
      </c>
      <c r="E64" s="2" t="s">
        <v>13</v>
      </c>
      <c r="F64" s="2" t="s">
        <v>14</v>
      </c>
      <c r="G64" s="2">
        <v>3</v>
      </c>
      <c r="H64" s="3">
        <v>24.99</v>
      </c>
      <c r="I64" s="3">
        <v>74.97</v>
      </c>
    </row>
    <row r="65" spans="1:9" x14ac:dyDescent="0.3">
      <c r="A65" s="2" t="s">
        <v>71</v>
      </c>
      <c r="B65" s="2" t="s">
        <v>10</v>
      </c>
      <c r="C65" s="2" t="s">
        <v>36</v>
      </c>
      <c r="D65" s="2" t="s">
        <v>22</v>
      </c>
      <c r="E65" s="2" t="s">
        <v>18</v>
      </c>
      <c r="F65" s="2" t="s">
        <v>19</v>
      </c>
      <c r="G65" s="2">
        <v>4</v>
      </c>
      <c r="H65" s="3">
        <v>4.25</v>
      </c>
      <c r="I65" s="3">
        <v>17</v>
      </c>
    </row>
    <row r="66" spans="1:9" x14ac:dyDescent="0.3">
      <c r="A66" s="2" t="s">
        <v>71</v>
      </c>
      <c r="B66" s="2" t="s">
        <v>33</v>
      </c>
      <c r="C66" s="2" t="s">
        <v>21</v>
      </c>
      <c r="D66" s="2" t="s">
        <v>22</v>
      </c>
      <c r="E66" s="2" t="s">
        <v>18</v>
      </c>
      <c r="F66" s="2" t="s">
        <v>19</v>
      </c>
      <c r="G66" s="2">
        <v>3</v>
      </c>
      <c r="H66" s="3">
        <v>3.49</v>
      </c>
      <c r="I66" s="3">
        <v>10.47</v>
      </c>
    </row>
    <row r="67" spans="1:9" x14ac:dyDescent="0.3">
      <c r="A67" s="2" t="s">
        <v>72</v>
      </c>
      <c r="B67" s="2" t="s">
        <v>10</v>
      </c>
      <c r="C67" s="2" t="s">
        <v>42</v>
      </c>
      <c r="D67" s="2" t="s">
        <v>12</v>
      </c>
      <c r="E67" s="2" t="s">
        <v>13</v>
      </c>
      <c r="F67" s="2" t="s">
        <v>14</v>
      </c>
      <c r="G67" s="2">
        <v>4</v>
      </c>
      <c r="H67" s="3">
        <v>299</v>
      </c>
      <c r="I67" s="3">
        <v>1196</v>
      </c>
    </row>
    <row r="68" spans="1:9" x14ac:dyDescent="0.3">
      <c r="A68" s="2" t="s">
        <v>73</v>
      </c>
      <c r="B68" s="2" t="s">
        <v>20</v>
      </c>
      <c r="C68" s="2" t="s">
        <v>26</v>
      </c>
      <c r="D68" s="2" t="s">
        <v>17</v>
      </c>
      <c r="E68" s="2" t="s">
        <v>18</v>
      </c>
      <c r="F68" s="2" t="s">
        <v>19</v>
      </c>
      <c r="G68" s="2">
        <v>2</v>
      </c>
      <c r="H68" s="3">
        <v>9.99</v>
      </c>
      <c r="I68" s="3">
        <v>19.98</v>
      </c>
    </row>
    <row r="69" spans="1:9" x14ac:dyDescent="0.3">
      <c r="A69" s="2" t="s">
        <v>74</v>
      </c>
      <c r="B69" s="2" t="s">
        <v>47</v>
      </c>
      <c r="C69" s="2" t="s">
        <v>11</v>
      </c>
      <c r="D69" s="2" t="s">
        <v>12</v>
      </c>
      <c r="E69" s="2" t="s">
        <v>18</v>
      </c>
      <c r="F69" s="2" t="s">
        <v>19</v>
      </c>
      <c r="G69" s="2">
        <v>4</v>
      </c>
      <c r="H69" s="3">
        <v>24.99</v>
      </c>
      <c r="I69" s="3">
        <v>99.96</v>
      </c>
    </row>
    <row r="70" spans="1:9" x14ac:dyDescent="0.3">
      <c r="A70" s="2" t="s">
        <v>75</v>
      </c>
      <c r="B70" s="2" t="s">
        <v>10</v>
      </c>
      <c r="C70" s="2" t="s">
        <v>11</v>
      </c>
      <c r="D70" s="2" t="s">
        <v>12</v>
      </c>
      <c r="E70" s="2" t="s">
        <v>13</v>
      </c>
      <c r="F70" s="2" t="s">
        <v>14</v>
      </c>
      <c r="G70" s="2">
        <v>3</v>
      </c>
      <c r="H70" s="3">
        <v>24.99</v>
      </c>
      <c r="I70" s="3">
        <v>74.97</v>
      </c>
    </row>
    <row r="71" spans="1:9" x14ac:dyDescent="0.3">
      <c r="A71" s="2" t="s">
        <v>75</v>
      </c>
      <c r="B71" s="2" t="s">
        <v>15</v>
      </c>
      <c r="C71" s="2" t="s">
        <v>34</v>
      </c>
      <c r="D71" s="2" t="s">
        <v>12</v>
      </c>
      <c r="E71" s="2" t="s">
        <v>18</v>
      </c>
      <c r="F71" s="2" t="s">
        <v>19</v>
      </c>
      <c r="G71" s="2">
        <v>2</v>
      </c>
      <c r="H71" s="3">
        <v>149.5</v>
      </c>
      <c r="I71" s="3">
        <v>299</v>
      </c>
    </row>
    <row r="72" spans="1:9" x14ac:dyDescent="0.3">
      <c r="A72" s="2" t="s">
        <v>76</v>
      </c>
      <c r="B72" s="2" t="s">
        <v>23</v>
      </c>
      <c r="C72" s="2" t="s">
        <v>42</v>
      </c>
      <c r="D72" s="2" t="s">
        <v>12</v>
      </c>
      <c r="E72" s="2" t="s">
        <v>37</v>
      </c>
      <c r="F72" s="2" t="s">
        <v>38</v>
      </c>
      <c r="G72" s="2">
        <v>3</v>
      </c>
      <c r="H72" s="3">
        <v>299</v>
      </c>
      <c r="I72" s="3">
        <v>897</v>
      </c>
    </row>
    <row r="73" spans="1:9" x14ac:dyDescent="0.3">
      <c r="A73" s="2" t="s">
        <v>77</v>
      </c>
      <c r="B73" s="2" t="s">
        <v>25</v>
      </c>
      <c r="C73" s="2" t="s">
        <v>52</v>
      </c>
      <c r="D73" s="2" t="s">
        <v>17</v>
      </c>
      <c r="E73" s="2" t="s">
        <v>13</v>
      </c>
      <c r="F73" s="2" t="s">
        <v>14</v>
      </c>
      <c r="G73" s="2">
        <v>2</v>
      </c>
      <c r="H73" s="3">
        <v>59.99</v>
      </c>
      <c r="I73" s="3">
        <v>119.98</v>
      </c>
    </row>
    <row r="74" spans="1:9" x14ac:dyDescent="0.3">
      <c r="A74" s="2" t="s">
        <v>78</v>
      </c>
      <c r="B74" s="2" t="s">
        <v>47</v>
      </c>
      <c r="C74" s="2" t="s">
        <v>21</v>
      </c>
      <c r="D74" s="2" t="s">
        <v>22</v>
      </c>
      <c r="E74" s="2" t="s">
        <v>27</v>
      </c>
      <c r="F74" s="2" t="s">
        <v>28</v>
      </c>
      <c r="G74" s="2">
        <v>3</v>
      </c>
      <c r="H74" s="3">
        <v>3.49</v>
      </c>
      <c r="I74" s="3">
        <v>10.47</v>
      </c>
    </row>
    <row r="75" spans="1:9" x14ac:dyDescent="0.3">
      <c r="A75" s="2" t="s">
        <v>78</v>
      </c>
      <c r="B75" s="2" t="s">
        <v>47</v>
      </c>
      <c r="C75" s="2" t="s">
        <v>26</v>
      </c>
      <c r="D75" s="2" t="s">
        <v>17</v>
      </c>
      <c r="E75" s="2" t="s">
        <v>18</v>
      </c>
      <c r="F75" s="2" t="s">
        <v>19</v>
      </c>
      <c r="G75" s="2">
        <v>3</v>
      </c>
      <c r="H75" s="3">
        <v>9.99</v>
      </c>
      <c r="I75" s="3">
        <v>29.97</v>
      </c>
    </row>
    <row r="76" spans="1:9" x14ac:dyDescent="0.3">
      <c r="A76" s="2" t="s">
        <v>79</v>
      </c>
      <c r="B76" s="2" t="s">
        <v>40</v>
      </c>
      <c r="C76" s="2" t="s">
        <v>34</v>
      </c>
      <c r="D76" s="2" t="s">
        <v>12</v>
      </c>
      <c r="E76" s="2" t="s">
        <v>13</v>
      </c>
      <c r="F76" s="2" t="s">
        <v>14</v>
      </c>
      <c r="G76" s="2">
        <v>3</v>
      </c>
      <c r="H76" s="3">
        <v>149.5</v>
      </c>
      <c r="I76" s="3">
        <v>448.5</v>
      </c>
    </row>
    <row r="77" spans="1:9" x14ac:dyDescent="0.3">
      <c r="A77" s="2" t="s">
        <v>79</v>
      </c>
      <c r="B77" s="2" t="s">
        <v>33</v>
      </c>
      <c r="C77" s="2" t="s">
        <v>29</v>
      </c>
      <c r="D77" s="2" t="s">
        <v>22</v>
      </c>
      <c r="E77" s="2" t="s">
        <v>18</v>
      </c>
      <c r="F77" s="2" t="s">
        <v>19</v>
      </c>
      <c r="G77" s="2">
        <v>2</v>
      </c>
      <c r="H77" s="3">
        <v>12.99</v>
      </c>
      <c r="I77" s="3">
        <v>25.98</v>
      </c>
    </row>
    <row r="78" spans="1:9" x14ac:dyDescent="0.3">
      <c r="A78" s="2" t="s">
        <v>79</v>
      </c>
      <c r="B78" s="2" t="s">
        <v>31</v>
      </c>
      <c r="C78" s="2" t="s">
        <v>29</v>
      </c>
      <c r="D78" s="2" t="s">
        <v>22</v>
      </c>
      <c r="E78" s="2" t="s">
        <v>37</v>
      </c>
      <c r="F78" s="2" t="s">
        <v>38</v>
      </c>
      <c r="G78" s="2">
        <v>1</v>
      </c>
      <c r="H78" s="3">
        <v>12.99</v>
      </c>
      <c r="I78" s="3">
        <v>12.99</v>
      </c>
    </row>
    <row r="79" spans="1:9" x14ac:dyDescent="0.3">
      <c r="A79" s="2" t="s">
        <v>80</v>
      </c>
      <c r="B79" s="2" t="s">
        <v>40</v>
      </c>
      <c r="C79" s="2" t="s">
        <v>36</v>
      </c>
      <c r="D79" s="2" t="s">
        <v>22</v>
      </c>
      <c r="E79" s="2" t="s">
        <v>18</v>
      </c>
      <c r="F79" s="2" t="s">
        <v>19</v>
      </c>
      <c r="G79" s="2">
        <v>4</v>
      </c>
      <c r="H79" s="3">
        <v>4.25</v>
      </c>
      <c r="I79" s="3">
        <v>17</v>
      </c>
    </row>
    <row r="80" spans="1:9" x14ac:dyDescent="0.3">
      <c r="A80" s="2" t="s">
        <v>81</v>
      </c>
      <c r="B80" s="2" t="s">
        <v>35</v>
      </c>
      <c r="C80" s="2" t="s">
        <v>26</v>
      </c>
      <c r="D80" s="2" t="s">
        <v>17</v>
      </c>
      <c r="E80" s="2" t="s">
        <v>18</v>
      </c>
      <c r="F80" s="2" t="s">
        <v>19</v>
      </c>
      <c r="G80" s="2">
        <v>1</v>
      </c>
      <c r="H80" s="3">
        <v>9.99</v>
      </c>
      <c r="I80" s="3">
        <v>9.99</v>
      </c>
    </row>
    <row r="81" spans="1:9" x14ac:dyDescent="0.3">
      <c r="A81" s="2" t="s">
        <v>82</v>
      </c>
      <c r="B81" s="2" t="s">
        <v>23</v>
      </c>
      <c r="C81" s="2" t="s">
        <v>21</v>
      </c>
      <c r="D81" s="2" t="s">
        <v>22</v>
      </c>
      <c r="E81" s="2" t="s">
        <v>18</v>
      </c>
      <c r="F81" s="2" t="s">
        <v>19</v>
      </c>
      <c r="G81" s="2">
        <v>2</v>
      </c>
      <c r="H81" s="3">
        <v>3.49</v>
      </c>
      <c r="I81" s="3">
        <v>6.98</v>
      </c>
    </row>
    <row r="82" spans="1:9" x14ac:dyDescent="0.3">
      <c r="A82" s="2" t="s">
        <v>82</v>
      </c>
      <c r="B82" s="2" t="s">
        <v>35</v>
      </c>
      <c r="C82" s="2" t="s">
        <v>52</v>
      </c>
      <c r="D82" s="2" t="s">
        <v>17</v>
      </c>
      <c r="E82" s="2" t="s">
        <v>27</v>
      </c>
      <c r="F82" s="2" t="s">
        <v>28</v>
      </c>
      <c r="G82" s="2">
        <v>1</v>
      </c>
      <c r="H82" s="3">
        <v>59.99</v>
      </c>
      <c r="I82" s="3">
        <v>59.99</v>
      </c>
    </row>
    <row r="83" spans="1:9" x14ac:dyDescent="0.3">
      <c r="A83" s="2" t="s">
        <v>82</v>
      </c>
      <c r="B83" s="2" t="s">
        <v>25</v>
      </c>
      <c r="C83" s="2" t="s">
        <v>26</v>
      </c>
      <c r="D83" s="2" t="s">
        <v>17</v>
      </c>
      <c r="E83" s="2" t="s">
        <v>27</v>
      </c>
      <c r="F83" s="2" t="s">
        <v>28</v>
      </c>
      <c r="G83" s="2">
        <v>2</v>
      </c>
      <c r="H83" s="3">
        <v>9.99</v>
      </c>
      <c r="I83" s="3">
        <v>19.98</v>
      </c>
    </row>
    <row r="84" spans="1:9" x14ac:dyDescent="0.3">
      <c r="A84" s="2" t="s">
        <v>83</v>
      </c>
      <c r="B84" s="2" t="s">
        <v>33</v>
      </c>
      <c r="C84" s="2" t="s">
        <v>52</v>
      </c>
      <c r="D84" s="2" t="s">
        <v>17</v>
      </c>
      <c r="E84" s="2" t="s">
        <v>37</v>
      </c>
      <c r="F84" s="2" t="s">
        <v>38</v>
      </c>
      <c r="G84" s="2">
        <v>4</v>
      </c>
      <c r="H84" s="3">
        <v>59.99</v>
      </c>
      <c r="I84" s="3">
        <v>239.96</v>
      </c>
    </row>
    <row r="85" spans="1:9" x14ac:dyDescent="0.3">
      <c r="A85" s="2" t="s">
        <v>84</v>
      </c>
      <c r="B85" s="2" t="s">
        <v>10</v>
      </c>
      <c r="C85" s="2" t="s">
        <v>52</v>
      </c>
      <c r="D85" s="2" t="s">
        <v>17</v>
      </c>
      <c r="E85" s="2" t="s">
        <v>37</v>
      </c>
      <c r="F85" s="2" t="s">
        <v>38</v>
      </c>
      <c r="G85" s="2">
        <v>4</v>
      </c>
      <c r="H85" s="3">
        <v>59.99</v>
      </c>
      <c r="I85" s="3">
        <v>239.96</v>
      </c>
    </row>
    <row r="86" spans="1:9" x14ac:dyDescent="0.3">
      <c r="A86" s="2" t="s">
        <v>84</v>
      </c>
      <c r="B86" s="2" t="s">
        <v>10</v>
      </c>
      <c r="C86" s="2" t="s">
        <v>42</v>
      </c>
      <c r="D86" s="2" t="s">
        <v>12</v>
      </c>
      <c r="E86" s="2" t="s">
        <v>13</v>
      </c>
      <c r="F86" s="2" t="s">
        <v>14</v>
      </c>
      <c r="G86" s="2">
        <v>4</v>
      </c>
      <c r="H86" s="3">
        <v>299</v>
      </c>
      <c r="I86" s="3">
        <v>1196</v>
      </c>
    </row>
    <row r="87" spans="1:9" x14ac:dyDescent="0.3">
      <c r="A87" s="2" t="s">
        <v>85</v>
      </c>
      <c r="B87" s="2" t="s">
        <v>20</v>
      </c>
      <c r="C87" s="2" t="s">
        <v>29</v>
      </c>
      <c r="D87" s="2" t="s">
        <v>22</v>
      </c>
      <c r="E87" s="2" t="s">
        <v>18</v>
      </c>
      <c r="F87" s="2" t="s">
        <v>19</v>
      </c>
      <c r="G87" s="2">
        <v>2</v>
      </c>
      <c r="H87" s="3">
        <v>12.99</v>
      </c>
      <c r="I87" s="3">
        <v>25.98</v>
      </c>
    </row>
    <row r="88" spans="1:9" x14ac:dyDescent="0.3">
      <c r="A88" s="2" t="s">
        <v>85</v>
      </c>
      <c r="B88" s="2" t="s">
        <v>35</v>
      </c>
      <c r="C88" s="2" t="s">
        <v>52</v>
      </c>
      <c r="D88" s="2" t="s">
        <v>17</v>
      </c>
      <c r="E88" s="2" t="s">
        <v>13</v>
      </c>
      <c r="F88" s="2" t="s">
        <v>14</v>
      </c>
      <c r="G88" s="2">
        <v>1</v>
      </c>
      <c r="H88" s="3">
        <v>59.99</v>
      </c>
      <c r="I88" s="3">
        <v>59.99</v>
      </c>
    </row>
    <row r="89" spans="1:9" x14ac:dyDescent="0.3">
      <c r="A89" s="2" t="s">
        <v>85</v>
      </c>
      <c r="B89" s="2" t="s">
        <v>20</v>
      </c>
      <c r="C89" s="2" t="s">
        <v>42</v>
      </c>
      <c r="D89" s="2" t="s">
        <v>12</v>
      </c>
      <c r="E89" s="2" t="s">
        <v>37</v>
      </c>
      <c r="F89" s="2" t="s">
        <v>38</v>
      </c>
      <c r="G89" s="2">
        <v>4</v>
      </c>
      <c r="H89" s="3">
        <v>299</v>
      </c>
      <c r="I89" s="3">
        <v>1196</v>
      </c>
    </row>
    <row r="90" spans="1:9" x14ac:dyDescent="0.3">
      <c r="A90" s="2" t="s">
        <v>86</v>
      </c>
      <c r="B90" s="2" t="s">
        <v>31</v>
      </c>
      <c r="C90" s="2" t="s">
        <v>11</v>
      </c>
      <c r="D90" s="2" t="s">
        <v>12</v>
      </c>
      <c r="E90" s="2" t="s">
        <v>37</v>
      </c>
      <c r="F90" s="2" t="s">
        <v>38</v>
      </c>
      <c r="G90" s="2">
        <v>2</v>
      </c>
      <c r="H90" s="3">
        <v>24.99</v>
      </c>
      <c r="I90" s="3">
        <v>49.98</v>
      </c>
    </row>
    <row r="91" spans="1:9" x14ac:dyDescent="0.3">
      <c r="A91" s="2" t="s">
        <v>86</v>
      </c>
      <c r="B91" s="2" t="s">
        <v>31</v>
      </c>
      <c r="C91" s="2" t="s">
        <v>21</v>
      </c>
      <c r="D91" s="2" t="s">
        <v>22</v>
      </c>
      <c r="E91" s="2" t="s">
        <v>27</v>
      </c>
      <c r="F91" s="2" t="s">
        <v>28</v>
      </c>
      <c r="G91" s="2">
        <v>4</v>
      </c>
      <c r="H91" s="3">
        <v>3.49</v>
      </c>
      <c r="I91" s="3">
        <v>13.96</v>
      </c>
    </row>
    <row r="92" spans="1:9" x14ac:dyDescent="0.3">
      <c r="A92" s="2" t="s">
        <v>86</v>
      </c>
      <c r="B92" s="2" t="s">
        <v>15</v>
      </c>
      <c r="C92" s="2" t="s">
        <v>42</v>
      </c>
      <c r="D92" s="2" t="s">
        <v>12</v>
      </c>
      <c r="E92" s="2" t="s">
        <v>37</v>
      </c>
      <c r="F92" s="2" t="s">
        <v>38</v>
      </c>
      <c r="G92" s="2">
        <v>1</v>
      </c>
      <c r="H92" s="3">
        <v>299</v>
      </c>
      <c r="I92" s="3">
        <v>299</v>
      </c>
    </row>
    <row r="93" spans="1:9" x14ac:dyDescent="0.3">
      <c r="A93" s="2" t="s">
        <v>86</v>
      </c>
      <c r="B93" s="2" t="s">
        <v>31</v>
      </c>
      <c r="C93" s="2" t="s">
        <v>42</v>
      </c>
      <c r="D93" s="2" t="s">
        <v>12</v>
      </c>
      <c r="E93" s="2" t="s">
        <v>13</v>
      </c>
      <c r="F93" s="2" t="s">
        <v>14</v>
      </c>
      <c r="G93" s="2">
        <v>4</v>
      </c>
      <c r="H93" s="3">
        <v>299</v>
      </c>
      <c r="I93" s="3">
        <v>1196</v>
      </c>
    </row>
    <row r="94" spans="1:9" x14ac:dyDescent="0.3">
      <c r="A94" s="2" t="s">
        <v>87</v>
      </c>
      <c r="B94" s="2" t="s">
        <v>35</v>
      </c>
      <c r="C94" s="2" t="s">
        <v>21</v>
      </c>
      <c r="D94" s="2" t="s">
        <v>22</v>
      </c>
      <c r="E94" s="2" t="s">
        <v>13</v>
      </c>
      <c r="F94" s="2" t="s">
        <v>14</v>
      </c>
      <c r="G94" s="2">
        <v>2</v>
      </c>
      <c r="H94" s="3">
        <v>3.49</v>
      </c>
      <c r="I94" s="3">
        <v>6.98</v>
      </c>
    </row>
    <row r="95" spans="1:9" x14ac:dyDescent="0.3">
      <c r="A95" s="2" t="s">
        <v>88</v>
      </c>
      <c r="B95" s="2" t="s">
        <v>40</v>
      </c>
      <c r="C95" s="2" t="s">
        <v>11</v>
      </c>
      <c r="D95" s="2" t="s">
        <v>12</v>
      </c>
      <c r="E95" s="2" t="s">
        <v>18</v>
      </c>
      <c r="F95" s="2" t="s">
        <v>19</v>
      </c>
      <c r="G95" s="2">
        <v>2</v>
      </c>
      <c r="H95" s="3">
        <v>24.99</v>
      </c>
      <c r="I95" s="3">
        <v>49.98</v>
      </c>
    </row>
    <row r="96" spans="1:9" x14ac:dyDescent="0.3">
      <c r="A96" s="2" t="s">
        <v>88</v>
      </c>
      <c r="B96" s="2" t="s">
        <v>20</v>
      </c>
      <c r="C96" s="2" t="s">
        <v>26</v>
      </c>
      <c r="D96" s="2" t="s">
        <v>17</v>
      </c>
      <c r="E96" s="2" t="s">
        <v>13</v>
      </c>
      <c r="F96" s="2" t="s">
        <v>14</v>
      </c>
      <c r="G96" s="2">
        <v>1</v>
      </c>
      <c r="H96" s="3">
        <v>9.99</v>
      </c>
      <c r="I96" s="3">
        <v>9.99</v>
      </c>
    </row>
    <row r="97" spans="1:9" x14ac:dyDescent="0.3">
      <c r="A97" s="2" t="s">
        <v>88</v>
      </c>
      <c r="B97" s="2" t="s">
        <v>10</v>
      </c>
      <c r="C97" s="2" t="s">
        <v>34</v>
      </c>
      <c r="D97" s="2" t="s">
        <v>12</v>
      </c>
      <c r="E97" s="2" t="s">
        <v>13</v>
      </c>
      <c r="F97" s="2" t="s">
        <v>14</v>
      </c>
      <c r="G97" s="2">
        <v>4</v>
      </c>
      <c r="H97" s="3">
        <v>149.5</v>
      </c>
      <c r="I97" s="3">
        <v>598</v>
      </c>
    </row>
    <row r="98" spans="1:9" x14ac:dyDescent="0.3">
      <c r="A98" s="2" t="s">
        <v>89</v>
      </c>
      <c r="B98" s="2" t="s">
        <v>20</v>
      </c>
      <c r="C98" s="2" t="s">
        <v>21</v>
      </c>
      <c r="D98" s="2" t="s">
        <v>22</v>
      </c>
      <c r="E98" s="2" t="s">
        <v>37</v>
      </c>
      <c r="F98" s="2" t="s">
        <v>38</v>
      </c>
      <c r="G98" s="2">
        <v>4</v>
      </c>
      <c r="H98" s="3">
        <v>3.49</v>
      </c>
      <c r="I98" s="3">
        <v>13.96</v>
      </c>
    </row>
    <row r="99" spans="1:9" x14ac:dyDescent="0.3">
      <c r="A99" s="2" t="s">
        <v>89</v>
      </c>
      <c r="B99" s="2" t="s">
        <v>10</v>
      </c>
      <c r="C99" s="2" t="s">
        <v>11</v>
      </c>
      <c r="D99" s="2" t="s">
        <v>12</v>
      </c>
      <c r="E99" s="2" t="s">
        <v>18</v>
      </c>
      <c r="F99" s="2" t="s">
        <v>19</v>
      </c>
      <c r="G99" s="2">
        <v>3</v>
      </c>
      <c r="H99" s="3">
        <v>24.99</v>
      </c>
      <c r="I99" s="3">
        <v>74.97</v>
      </c>
    </row>
    <row r="100" spans="1:9" x14ac:dyDescent="0.3">
      <c r="A100" s="2" t="s">
        <v>89</v>
      </c>
      <c r="B100" s="2" t="s">
        <v>33</v>
      </c>
      <c r="C100" s="2" t="s">
        <v>26</v>
      </c>
      <c r="D100" s="2" t="s">
        <v>17</v>
      </c>
      <c r="E100" s="2" t="s">
        <v>27</v>
      </c>
      <c r="F100" s="2" t="s">
        <v>28</v>
      </c>
      <c r="G100" s="2">
        <v>4</v>
      </c>
      <c r="H100" s="3">
        <v>9.99</v>
      </c>
      <c r="I100" s="3">
        <v>39.96</v>
      </c>
    </row>
    <row r="101" spans="1:9" x14ac:dyDescent="0.3">
      <c r="A101" s="2" t="s">
        <v>90</v>
      </c>
      <c r="B101" s="2" t="s">
        <v>15</v>
      </c>
      <c r="C101" s="2" t="s">
        <v>34</v>
      </c>
      <c r="D101" s="2" t="s">
        <v>12</v>
      </c>
      <c r="E101" s="2" t="s">
        <v>13</v>
      </c>
      <c r="F101" s="2" t="s">
        <v>14</v>
      </c>
      <c r="G101" s="2">
        <v>3</v>
      </c>
      <c r="H101" s="3">
        <v>149.5</v>
      </c>
      <c r="I101" s="3">
        <v>448.5</v>
      </c>
    </row>
    <row r="102" spans="1:9" x14ac:dyDescent="0.3">
      <c r="A102" s="2" t="s">
        <v>90</v>
      </c>
      <c r="B102" s="2" t="s">
        <v>25</v>
      </c>
      <c r="C102" s="2" t="s">
        <v>29</v>
      </c>
      <c r="D102" s="2" t="s">
        <v>22</v>
      </c>
      <c r="E102" s="2" t="s">
        <v>37</v>
      </c>
      <c r="F102" s="2" t="s">
        <v>38</v>
      </c>
      <c r="G102" s="2">
        <v>2</v>
      </c>
      <c r="H102" s="3">
        <v>12.99</v>
      </c>
      <c r="I102" s="3">
        <v>25.98</v>
      </c>
    </row>
    <row r="103" spans="1:9" x14ac:dyDescent="0.3">
      <c r="A103" s="2" t="s">
        <v>90</v>
      </c>
      <c r="B103" s="2" t="s">
        <v>25</v>
      </c>
      <c r="C103" s="2" t="s">
        <v>11</v>
      </c>
      <c r="D103" s="2" t="s">
        <v>12</v>
      </c>
      <c r="E103" s="2" t="s">
        <v>18</v>
      </c>
      <c r="F103" s="2" t="s">
        <v>19</v>
      </c>
      <c r="G103" s="2">
        <v>3</v>
      </c>
      <c r="H103" s="3">
        <v>24.99</v>
      </c>
      <c r="I103" s="3">
        <v>74.97</v>
      </c>
    </row>
    <row r="104" spans="1:9" x14ac:dyDescent="0.3">
      <c r="A104" s="2" t="s">
        <v>91</v>
      </c>
      <c r="B104" s="2" t="s">
        <v>15</v>
      </c>
      <c r="C104" s="2" t="s">
        <v>21</v>
      </c>
      <c r="D104" s="2" t="s">
        <v>22</v>
      </c>
      <c r="E104" s="2" t="s">
        <v>18</v>
      </c>
      <c r="F104" s="2" t="s">
        <v>19</v>
      </c>
      <c r="G104" s="2">
        <v>2</v>
      </c>
      <c r="H104" s="3">
        <v>3.49</v>
      </c>
      <c r="I104" s="3">
        <v>6.98</v>
      </c>
    </row>
    <row r="105" spans="1:9" x14ac:dyDescent="0.3">
      <c r="A105" s="2" t="s">
        <v>91</v>
      </c>
      <c r="B105" s="2" t="s">
        <v>33</v>
      </c>
      <c r="C105" s="2" t="s">
        <v>26</v>
      </c>
      <c r="D105" s="2" t="s">
        <v>17</v>
      </c>
      <c r="E105" s="2" t="s">
        <v>37</v>
      </c>
      <c r="F105" s="2" t="s">
        <v>38</v>
      </c>
      <c r="G105" s="2">
        <v>3</v>
      </c>
      <c r="H105" s="3">
        <v>9.99</v>
      </c>
      <c r="I105" s="3">
        <v>29.97</v>
      </c>
    </row>
    <row r="106" spans="1:9" x14ac:dyDescent="0.3">
      <c r="A106" s="2" t="s">
        <v>92</v>
      </c>
      <c r="B106" s="2" t="s">
        <v>40</v>
      </c>
      <c r="C106" s="2" t="s">
        <v>52</v>
      </c>
      <c r="D106" s="2" t="s">
        <v>17</v>
      </c>
      <c r="E106" s="2" t="s">
        <v>13</v>
      </c>
      <c r="F106" s="2" t="s">
        <v>14</v>
      </c>
      <c r="G106" s="2">
        <v>2</v>
      </c>
      <c r="H106" s="3">
        <v>59.99</v>
      </c>
      <c r="I106" s="3">
        <v>119.98</v>
      </c>
    </row>
    <row r="107" spans="1:9" x14ac:dyDescent="0.3">
      <c r="A107" s="2" t="s">
        <v>93</v>
      </c>
      <c r="B107" s="2" t="s">
        <v>25</v>
      </c>
      <c r="C107" s="2" t="s">
        <v>11</v>
      </c>
      <c r="D107" s="2" t="s">
        <v>12</v>
      </c>
      <c r="E107" s="2" t="s">
        <v>27</v>
      </c>
      <c r="F107" s="2" t="s">
        <v>28</v>
      </c>
      <c r="G107" s="2">
        <v>1</v>
      </c>
      <c r="H107" s="3">
        <v>24.99</v>
      </c>
      <c r="I107" s="3">
        <v>24.99</v>
      </c>
    </row>
    <row r="108" spans="1:9" x14ac:dyDescent="0.3">
      <c r="A108" s="2" t="s">
        <v>93</v>
      </c>
      <c r="B108" s="2" t="s">
        <v>23</v>
      </c>
      <c r="C108" s="2" t="s">
        <v>52</v>
      </c>
      <c r="D108" s="2" t="s">
        <v>17</v>
      </c>
      <c r="E108" s="2" t="s">
        <v>37</v>
      </c>
      <c r="F108" s="2" t="s">
        <v>38</v>
      </c>
      <c r="G108" s="2">
        <v>1</v>
      </c>
      <c r="H108" s="3">
        <v>59.99</v>
      </c>
      <c r="I108" s="3">
        <v>59.99</v>
      </c>
    </row>
    <row r="109" spans="1:9" x14ac:dyDescent="0.3">
      <c r="A109" s="2" t="s">
        <v>93</v>
      </c>
      <c r="B109" s="2" t="s">
        <v>31</v>
      </c>
      <c r="C109" s="2" t="s">
        <v>16</v>
      </c>
      <c r="D109" s="2" t="s">
        <v>17</v>
      </c>
      <c r="E109" s="2" t="s">
        <v>18</v>
      </c>
      <c r="F109" s="2" t="s">
        <v>19</v>
      </c>
      <c r="G109" s="2">
        <v>4</v>
      </c>
      <c r="H109" s="3">
        <v>19.989999999999998</v>
      </c>
      <c r="I109" s="3">
        <v>79.959999999999994</v>
      </c>
    </row>
    <row r="110" spans="1:9" x14ac:dyDescent="0.3">
      <c r="A110" s="2" t="s">
        <v>94</v>
      </c>
      <c r="B110" s="2" t="s">
        <v>25</v>
      </c>
      <c r="C110" s="2" t="s">
        <v>26</v>
      </c>
      <c r="D110" s="2" t="s">
        <v>17</v>
      </c>
      <c r="E110" s="2" t="s">
        <v>27</v>
      </c>
      <c r="F110" s="2" t="s">
        <v>28</v>
      </c>
      <c r="G110" s="2">
        <v>1</v>
      </c>
      <c r="H110" s="3">
        <v>9.99</v>
      </c>
      <c r="I110" s="3">
        <v>9.99</v>
      </c>
    </row>
    <row r="111" spans="1:9" x14ac:dyDescent="0.3">
      <c r="A111" s="2" t="s">
        <v>94</v>
      </c>
      <c r="B111" s="2" t="s">
        <v>15</v>
      </c>
      <c r="C111" s="2" t="s">
        <v>52</v>
      </c>
      <c r="D111" s="2" t="s">
        <v>17</v>
      </c>
      <c r="E111" s="2" t="s">
        <v>27</v>
      </c>
      <c r="F111" s="2" t="s">
        <v>28</v>
      </c>
      <c r="G111" s="2">
        <v>1</v>
      </c>
      <c r="H111" s="3">
        <v>59.99</v>
      </c>
      <c r="I111" s="3">
        <v>59.99</v>
      </c>
    </row>
    <row r="112" spans="1:9" x14ac:dyDescent="0.3">
      <c r="A112" s="2" t="s">
        <v>95</v>
      </c>
      <c r="B112" s="2" t="s">
        <v>25</v>
      </c>
      <c r="C112" s="2" t="s">
        <v>34</v>
      </c>
      <c r="D112" s="2" t="s">
        <v>12</v>
      </c>
      <c r="E112" s="2" t="s">
        <v>37</v>
      </c>
      <c r="F112" s="2" t="s">
        <v>38</v>
      </c>
      <c r="G112" s="2">
        <v>4</v>
      </c>
      <c r="H112" s="3">
        <v>149.5</v>
      </c>
      <c r="I112" s="3">
        <v>598</v>
      </c>
    </row>
    <row r="113" spans="1:9" x14ac:dyDescent="0.3">
      <c r="A113" s="2" t="s">
        <v>95</v>
      </c>
      <c r="B113" s="2" t="s">
        <v>23</v>
      </c>
      <c r="C113" s="2" t="s">
        <v>21</v>
      </c>
      <c r="D113" s="2" t="s">
        <v>22</v>
      </c>
      <c r="E113" s="2" t="s">
        <v>13</v>
      </c>
      <c r="F113" s="2" t="s">
        <v>14</v>
      </c>
      <c r="G113" s="2">
        <v>4</v>
      </c>
      <c r="H113" s="3">
        <v>3.49</v>
      </c>
      <c r="I113" s="3">
        <v>13.96</v>
      </c>
    </row>
    <row r="114" spans="1:9" x14ac:dyDescent="0.3">
      <c r="A114" s="2" t="s">
        <v>96</v>
      </c>
      <c r="B114" s="2" t="s">
        <v>31</v>
      </c>
      <c r="C114" s="2" t="s">
        <v>36</v>
      </c>
      <c r="D114" s="2" t="s">
        <v>22</v>
      </c>
      <c r="E114" s="2" t="s">
        <v>18</v>
      </c>
      <c r="F114" s="2" t="s">
        <v>19</v>
      </c>
      <c r="G114" s="2">
        <v>2</v>
      </c>
      <c r="H114" s="3">
        <v>4.25</v>
      </c>
      <c r="I114" s="3">
        <v>8.5</v>
      </c>
    </row>
    <row r="115" spans="1:9" x14ac:dyDescent="0.3">
      <c r="A115" s="2" t="s">
        <v>97</v>
      </c>
      <c r="B115" s="2" t="s">
        <v>10</v>
      </c>
      <c r="C115" s="2" t="s">
        <v>42</v>
      </c>
      <c r="D115" s="2" t="s">
        <v>12</v>
      </c>
      <c r="E115" s="2" t="s">
        <v>27</v>
      </c>
      <c r="F115" s="2" t="s">
        <v>28</v>
      </c>
      <c r="G115" s="2">
        <v>3</v>
      </c>
      <c r="H115" s="3">
        <v>299</v>
      </c>
      <c r="I115" s="3">
        <v>897</v>
      </c>
    </row>
    <row r="116" spans="1:9" x14ac:dyDescent="0.3">
      <c r="A116" s="2" t="s">
        <v>97</v>
      </c>
      <c r="B116" s="2" t="s">
        <v>25</v>
      </c>
      <c r="C116" s="2" t="s">
        <v>52</v>
      </c>
      <c r="D116" s="2" t="s">
        <v>17</v>
      </c>
      <c r="E116" s="2" t="s">
        <v>13</v>
      </c>
      <c r="F116" s="2" t="s">
        <v>14</v>
      </c>
      <c r="G116" s="2">
        <v>2</v>
      </c>
      <c r="H116" s="3">
        <v>59.99</v>
      </c>
      <c r="I116" s="3">
        <v>119.98</v>
      </c>
    </row>
    <row r="117" spans="1:9" x14ac:dyDescent="0.3">
      <c r="A117" s="2" t="s">
        <v>98</v>
      </c>
      <c r="B117" s="2" t="s">
        <v>23</v>
      </c>
      <c r="C117" s="2" t="s">
        <v>21</v>
      </c>
      <c r="D117" s="2" t="s">
        <v>22</v>
      </c>
      <c r="E117" s="2" t="s">
        <v>27</v>
      </c>
      <c r="F117" s="2" t="s">
        <v>28</v>
      </c>
      <c r="G117" s="2">
        <v>3</v>
      </c>
      <c r="H117" s="3">
        <v>3.49</v>
      </c>
      <c r="I117" s="3">
        <v>10.47</v>
      </c>
    </row>
    <row r="118" spans="1:9" x14ac:dyDescent="0.3">
      <c r="A118" s="2" t="s">
        <v>99</v>
      </c>
      <c r="B118" s="2" t="s">
        <v>10</v>
      </c>
      <c r="C118" s="2" t="s">
        <v>21</v>
      </c>
      <c r="D118" s="2" t="s">
        <v>22</v>
      </c>
      <c r="E118" s="2" t="s">
        <v>27</v>
      </c>
      <c r="F118" s="2" t="s">
        <v>28</v>
      </c>
      <c r="G118" s="2">
        <v>1</v>
      </c>
      <c r="H118" s="3">
        <v>3.49</v>
      </c>
      <c r="I118" s="3">
        <v>3.49</v>
      </c>
    </row>
    <row r="119" spans="1:9" x14ac:dyDescent="0.3">
      <c r="A119" s="2" t="s">
        <v>99</v>
      </c>
      <c r="B119" s="2" t="s">
        <v>15</v>
      </c>
      <c r="C119" s="2" t="s">
        <v>16</v>
      </c>
      <c r="D119" s="2" t="s">
        <v>17</v>
      </c>
      <c r="E119" s="2" t="s">
        <v>27</v>
      </c>
      <c r="F119" s="2" t="s">
        <v>28</v>
      </c>
      <c r="G119" s="2">
        <v>1</v>
      </c>
      <c r="H119" s="3">
        <v>19.989999999999998</v>
      </c>
      <c r="I119" s="3">
        <v>19.989999999999998</v>
      </c>
    </row>
    <row r="120" spans="1:9" x14ac:dyDescent="0.3">
      <c r="A120" s="2" t="s">
        <v>99</v>
      </c>
      <c r="B120" s="2" t="s">
        <v>33</v>
      </c>
      <c r="C120" s="2" t="s">
        <v>11</v>
      </c>
      <c r="D120" s="2" t="s">
        <v>12</v>
      </c>
      <c r="E120" s="2" t="s">
        <v>37</v>
      </c>
      <c r="F120" s="2" t="s">
        <v>38</v>
      </c>
      <c r="G120" s="2">
        <v>2</v>
      </c>
      <c r="H120" s="3">
        <v>24.99</v>
      </c>
      <c r="I120" s="3">
        <v>49.98</v>
      </c>
    </row>
    <row r="121" spans="1:9" x14ac:dyDescent="0.3">
      <c r="A121" s="2" t="s">
        <v>99</v>
      </c>
      <c r="B121" s="2" t="s">
        <v>23</v>
      </c>
      <c r="C121" s="2" t="s">
        <v>42</v>
      </c>
      <c r="D121" s="2" t="s">
        <v>12</v>
      </c>
      <c r="E121" s="2" t="s">
        <v>18</v>
      </c>
      <c r="F121" s="2" t="s">
        <v>19</v>
      </c>
      <c r="G121" s="2">
        <v>1</v>
      </c>
      <c r="H121" s="3">
        <v>299</v>
      </c>
      <c r="I121" s="3">
        <v>299</v>
      </c>
    </row>
    <row r="122" spans="1:9" x14ac:dyDescent="0.3">
      <c r="A122" s="2" t="s">
        <v>100</v>
      </c>
      <c r="B122" s="2" t="s">
        <v>35</v>
      </c>
      <c r="C122" s="2" t="s">
        <v>26</v>
      </c>
      <c r="D122" s="2" t="s">
        <v>17</v>
      </c>
      <c r="E122" s="2" t="s">
        <v>13</v>
      </c>
      <c r="F122" s="2" t="s">
        <v>14</v>
      </c>
      <c r="G122" s="2">
        <v>2</v>
      </c>
      <c r="H122" s="3">
        <v>9.99</v>
      </c>
      <c r="I122" s="3">
        <v>19.98</v>
      </c>
    </row>
    <row r="123" spans="1:9" x14ac:dyDescent="0.3">
      <c r="A123" s="2" t="s">
        <v>100</v>
      </c>
      <c r="B123" s="2" t="s">
        <v>33</v>
      </c>
      <c r="C123" s="2" t="s">
        <v>21</v>
      </c>
      <c r="D123" s="2" t="s">
        <v>22</v>
      </c>
      <c r="E123" s="2" t="s">
        <v>18</v>
      </c>
      <c r="F123" s="2" t="s">
        <v>19</v>
      </c>
      <c r="G123" s="2">
        <v>1</v>
      </c>
      <c r="H123" s="3">
        <v>3.49</v>
      </c>
      <c r="I123" s="3">
        <v>3.49</v>
      </c>
    </row>
    <row r="124" spans="1:9" x14ac:dyDescent="0.3">
      <c r="A124" s="2" t="s">
        <v>101</v>
      </c>
      <c r="B124" s="2" t="s">
        <v>31</v>
      </c>
      <c r="C124" s="2" t="s">
        <v>36</v>
      </c>
      <c r="D124" s="2" t="s">
        <v>22</v>
      </c>
      <c r="E124" s="2" t="s">
        <v>37</v>
      </c>
      <c r="F124" s="2" t="s">
        <v>38</v>
      </c>
      <c r="G124" s="2">
        <v>1</v>
      </c>
      <c r="H124" s="3">
        <v>4.25</v>
      </c>
      <c r="I124" s="3">
        <v>4.25</v>
      </c>
    </row>
    <row r="125" spans="1:9" x14ac:dyDescent="0.3">
      <c r="A125" s="2" t="s">
        <v>102</v>
      </c>
      <c r="B125" s="2" t="s">
        <v>10</v>
      </c>
      <c r="C125" s="2" t="s">
        <v>29</v>
      </c>
      <c r="D125" s="2" t="s">
        <v>22</v>
      </c>
      <c r="E125" s="2" t="s">
        <v>27</v>
      </c>
      <c r="F125" s="2" t="s">
        <v>28</v>
      </c>
      <c r="G125" s="2">
        <v>3</v>
      </c>
      <c r="H125" s="3">
        <v>12.99</v>
      </c>
      <c r="I125" s="3">
        <v>38.97</v>
      </c>
    </row>
    <row r="126" spans="1:9" x14ac:dyDescent="0.3">
      <c r="A126" s="2" t="s">
        <v>102</v>
      </c>
      <c r="B126" s="2" t="s">
        <v>35</v>
      </c>
      <c r="C126" s="2" t="s">
        <v>11</v>
      </c>
      <c r="D126" s="2" t="s">
        <v>12</v>
      </c>
      <c r="E126" s="2" t="s">
        <v>27</v>
      </c>
      <c r="F126" s="2" t="s">
        <v>28</v>
      </c>
      <c r="G126" s="2">
        <v>4</v>
      </c>
      <c r="H126" s="3">
        <v>24.99</v>
      </c>
      <c r="I126" s="3">
        <v>99.96</v>
      </c>
    </row>
    <row r="127" spans="1:9" x14ac:dyDescent="0.3">
      <c r="A127" s="2" t="s">
        <v>103</v>
      </c>
      <c r="B127" s="2" t="s">
        <v>31</v>
      </c>
      <c r="C127" s="2" t="s">
        <v>16</v>
      </c>
      <c r="D127" s="2" t="s">
        <v>17</v>
      </c>
      <c r="E127" s="2" t="s">
        <v>27</v>
      </c>
      <c r="F127" s="2" t="s">
        <v>28</v>
      </c>
      <c r="G127" s="2">
        <v>4</v>
      </c>
      <c r="H127" s="3">
        <v>19.989999999999998</v>
      </c>
      <c r="I127" s="3">
        <v>79.959999999999994</v>
      </c>
    </row>
    <row r="128" spans="1:9" x14ac:dyDescent="0.3">
      <c r="A128" s="2" t="s">
        <v>103</v>
      </c>
      <c r="B128" s="2" t="s">
        <v>10</v>
      </c>
      <c r="C128" s="2" t="s">
        <v>42</v>
      </c>
      <c r="D128" s="2" t="s">
        <v>12</v>
      </c>
      <c r="E128" s="2" t="s">
        <v>18</v>
      </c>
      <c r="F128" s="2" t="s">
        <v>19</v>
      </c>
      <c r="G128" s="2">
        <v>2</v>
      </c>
      <c r="H128" s="3">
        <v>299</v>
      </c>
      <c r="I128" s="3">
        <v>598</v>
      </c>
    </row>
    <row r="129" spans="1:9" x14ac:dyDescent="0.3">
      <c r="A129" s="2" t="s">
        <v>103</v>
      </c>
      <c r="B129" s="2" t="s">
        <v>20</v>
      </c>
      <c r="C129" s="2" t="s">
        <v>52</v>
      </c>
      <c r="D129" s="2" t="s">
        <v>17</v>
      </c>
      <c r="E129" s="2" t="s">
        <v>13</v>
      </c>
      <c r="F129" s="2" t="s">
        <v>14</v>
      </c>
      <c r="G129" s="2">
        <v>2</v>
      </c>
      <c r="H129" s="3">
        <v>59.99</v>
      </c>
      <c r="I129" s="3">
        <v>119.98</v>
      </c>
    </row>
    <row r="130" spans="1:9" x14ac:dyDescent="0.3">
      <c r="A130" s="2" t="s">
        <v>104</v>
      </c>
      <c r="B130" s="2" t="s">
        <v>31</v>
      </c>
      <c r="C130" s="2" t="s">
        <v>16</v>
      </c>
      <c r="D130" s="2" t="s">
        <v>17</v>
      </c>
      <c r="E130" s="2" t="s">
        <v>27</v>
      </c>
      <c r="F130" s="2" t="s">
        <v>28</v>
      </c>
      <c r="G130" s="2">
        <v>4</v>
      </c>
      <c r="H130" s="3">
        <v>19.989999999999998</v>
      </c>
      <c r="I130" s="3">
        <v>79.959999999999994</v>
      </c>
    </row>
    <row r="131" spans="1:9" x14ac:dyDescent="0.3">
      <c r="A131" s="2" t="s">
        <v>105</v>
      </c>
      <c r="B131" s="2" t="s">
        <v>35</v>
      </c>
      <c r="C131" s="2" t="s">
        <v>42</v>
      </c>
      <c r="D131" s="2" t="s">
        <v>12</v>
      </c>
      <c r="E131" s="2" t="s">
        <v>18</v>
      </c>
      <c r="F131" s="2" t="s">
        <v>19</v>
      </c>
      <c r="G131" s="2">
        <v>3</v>
      </c>
      <c r="H131" s="3">
        <v>299</v>
      </c>
      <c r="I131" s="3">
        <v>897</v>
      </c>
    </row>
    <row r="132" spans="1:9" x14ac:dyDescent="0.3">
      <c r="A132" s="2" t="s">
        <v>106</v>
      </c>
      <c r="B132" s="2" t="s">
        <v>20</v>
      </c>
      <c r="C132" s="2" t="s">
        <v>36</v>
      </c>
      <c r="D132" s="2" t="s">
        <v>22</v>
      </c>
      <c r="E132" s="2" t="s">
        <v>13</v>
      </c>
      <c r="F132" s="2" t="s">
        <v>14</v>
      </c>
      <c r="G132" s="2">
        <v>2</v>
      </c>
      <c r="H132" s="3">
        <v>4.25</v>
      </c>
      <c r="I132" s="3">
        <v>8.5</v>
      </c>
    </row>
    <row r="133" spans="1:9" x14ac:dyDescent="0.3">
      <c r="A133" s="2" t="s">
        <v>107</v>
      </c>
      <c r="B133" s="2" t="s">
        <v>47</v>
      </c>
      <c r="C133" s="2" t="s">
        <v>34</v>
      </c>
      <c r="D133" s="2" t="s">
        <v>12</v>
      </c>
      <c r="E133" s="2" t="s">
        <v>18</v>
      </c>
      <c r="F133" s="2" t="s">
        <v>19</v>
      </c>
      <c r="G133" s="2">
        <v>2</v>
      </c>
      <c r="H133" s="3">
        <v>149.5</v>
      </c>
      <c r="I133" s="3">
        <v>299</v>
      </c>
    </row>
    <row r="134" spans="1:9" x14ac:dyDescent="0.3">
      <c r="A134" s="2" t="s">
        <v>108</v>
      </c>
      <c r="B134" s="2" t="s">
        <v>23</v>
      </c>
      <c r="C134" s="2" t="s">
        <v>21</v>
      </c>
      <c r="D134" s="2" t="s">
        <v>22</v>
      </c>
      <c r="E134" s="2" t="s">
        <v>18</v>
      </c>
      <c r="F134" s="2" t="s">
        <v>19</v>
      </c>
      <c r="G134" s="2">
        <v>2</v>
      </c>
      <c r="H134" s="3">
        <v>3.49</v>
      </c>
      <c r="I134" s="3">
        <v>6.98</v>
      </c>
    </row>
    <row r="135" spans="1:9" x14ac:dyDescent="0.3">
      <c r="A135" s="2" t="s">
        <v>109</v>
      </c>
      <c r="B135" s="2" t="s">
        <v>15</v>
      </c>
      <c r="C135" s="2" t="s">
        <v>16</v>
      </c>
      <c r="D135" s="2" t="s">
        <v>17</v>
      </c>
      <c r="E135" s="2" t="s">
        <v>37</v>
      </c>
      <c r="F135" s="2" t="s">
        <v>38</v>
      </c>
      <c r="G135" s="2">
        <v>2</v>
      </c>
      <c r="H135" s="3">
        <v>19.989999999999998</v>
      </c>
      <c r="I135" s="3">
        <v>39.979999999999997</v>
      </c>
    </row>
    <row r="136" spans="1:9" x14ac:dyDescent="0.3">
      <c r="A136" s="2" t="s">
        <v>109</v>
      </c>
      <c r="B136" s="2" t="s">
        <v>25</v>
      </c>
      <c r="C136" s="2" t="s">
        <v>26</v>
      </c>
      <c r="D136" s="2" t="s">
        <v>17</v>
      </c>
      <c r="E136" s="2" t="s">
        <v>27</v>
      </c>
      <c r="F136" s="2" t="s">
        <v>28</v>
      </c>
      <c r="G136" s="2">
        <v>3</v>
      </c>
      <c r="H136" s="3">
        <v>9.99</v>
      </c>
      <c r="I136" s="3">
        <v>29.97</v>
      </c>
    </row>
    <row r="137" spans="1:9" x14ac:dyDescent="0.3">
      <c r="A137" s="2" t="s">
        <v>109</v>
      </c>
      <c r="B137" s="2" t="s">
        <v>10</v>
      </c>
      <c r="C137" s="2" t="s">
        <v>11</v>
      </c>
      <c r="D137" s="2" t="s">
        <v>12</v>
      </c>
      <c r="E137" s="2" t="s">
        <v>27</v>
      </c>
      <c r="F137" s="2" t="s">
        <v>28</v>
      </c>
      <c r="G137" s="2">
        <v>1</v>
      </c>
      <c r="H137" s="3">
        <v>24.99</v>
      </c>
      <c r="I137" s="3">
        <v>24.99</v>
      </c>
    </row>
    <row r="138" spans="1:9" x14ac:dyDescent="0.3">
      <c r="A138" s="2" t="s">
        <v>110</v>
      </c>
      <c r="B138" s="2" t="s">
        <v>25</v>
      </c>
      <c r="C138" s="2" t="s">
        <v>29</v>
      </c>
      <c r="D138" s="2" t="s">
        <v>22</v>
      </c>
      <c r="E138" s="2" t="s">
        <v>27</v>
      </c>
      <c r="F138" s="2" t="s">
        <v>28</v>
      </c>
      <c r="G138" s="2">
        <v>1</v>
      </c>
      <c r="H138" s="3">
        <v>12.99</v>
      </c>
      <c r="I138" s="3">
        <v>12.99</v>
      </c>
    </row>
    <row r="139" spans="1:9" x14ac:dyDescent="0.3">
      <c r="A139" s="2" t="s">
        <v>111</v>
      </c>
      <c r="B139" s="2" t="s">
        <v>25</v>
      </c>
      <c r="C139" s="2" t="s">
        <v>36</v>
      </c>
      <c r="D139" s="2" t="s">
        <v>22</v>
      </c>
      <c r="E139" s="2" t="s">
        <v>13</v>
      </c>
      <c r="F139" s="2" t="s">
        <v>14</v>
      </c>
      <c r="G139" s="2">
        <v>2</v>
      </c>
      <c r="H139" s="3">
        <v>4.25</v>
      </c>
      <c r="I139" s="3">
        <v>8.5</v>
      </c>
    </row>
    <row r="140" spans="1:9" x14ac:dyDescent="0.3">
      <c r="A140" s="2" t="s">
        <v>112</v>
      </c>
      <c r="B140" s="2" t="s">
        <v>25</v>
      </c>
      <c r="C140" s="2" t="s">
        <v>21</v>
      </c>
      <c r="D140" s="2" t="s">
        <v>22</v>
      </c>
      <c r="E140" s="2" t="s">
        <v>18</v>
      </c>
      <c r="F140" s="2" t="s">
        <v>19</v>
      </c>
      <c r="G140" s="2">
        <v>3</v>
      </c>
      <c r="H140" s="3">
        <v>3.49</v>
      </c>
      <c r="I140" s="3">
        <v>10.47</v>
      </c>
    </row>
    <row r="141" spans="1:9" x14ac:dyDescent="0.3">
      <c r="A141" s="2" t="s">
        <v>112</v>
      </c>
      <c r="B141" s="2" t="s">
        <v>15</v>
      </c>
      <c r="C141" s="2" t="s">
        <v>11</v>
      </c>
      <c r="D141" s="2" t="s">
        <v>12</v>
      </c>
      <c r="E141" s="2" t="s">
        <v>37</v>
      </c>
      <c r="F141" s="2" t="s">
        <v>38</v>
      </c>
      <c r="G141" s="2">
        <v>1</v>
      </c>
      <c r="H141" s="3">
        <v>24.99</v>
      </c>
      <c r="I141" s="3">
        <v>24.99</v>
      </c>
    </row>
    <row r="142" spans="1:9" x14ac:dyDescent="0.3">
      <c r="A142" s="2" t="s">
        <v>112</v>
      </c>
      <c r="B142" s="2" t="s">
        <v>15</v>
      </c>
      <c r="C142" s="2" t="s">
        <v>52</v>
      </c>
      <c r="D142" s="2" t="s">
        <v>17</v>
      </c>
      <c r="E142" s="2" t="s">
        <v>37</v>
      </c>
      <c r="F142" s="2" t="s">
        <v>38</v>
      </c>
      <c r="G142" s="2">
        <v>1</v>
      </c>
      <c r="H142" s="3">
        <v>59.99</v>
      </c>
      <c r="I142" s="3">
        <v>59.99</v>
      </c>
    </row>
    <row r="143" spans="1:9" x14ac:dyDescent="0.3">
      <c r="A143" s="2" t="s">
        <v>112</v>
      </c>
      <c r="B143" s="2" t="s">
        <v>31</v>
      </c>
      <c r="C143" s="2" t="s">
        <v>42</v>
      </c>
      <c r="D143" s="2" t="s">
        <v>12</v>
      </c>
      <c r="E143" s="2" t="s">
        <v>13</v>
      </c>
      <c r="F143" s="2" t="s">
        <v>14</v>
      </c>
      <c r="G143" s="2">
        <v>3</v>
      </c>
      <c r="H143" s="3">
        <v>299</v>
      </c>
      <c r="I143" s="3">
        <v>897</v>
      </c>
    </row>
    <row r="144" spans="1:9" x14ac:dyDescent="0.3">
      <c r="A144" s="2" t="s">
        <v>112</v>
      </c>
      <c r="B144" s="2" t="s">
        <v>31</v>
      </c>
      <c r="C144" s="2" t="s">
        <v>21</v>
      </c>
      <c r="D144" s="2" t="s">
        <v>22</v>
      </c>
      <c r="E144" s="2" t="s">
        <v>37</v>
      </c>
      <c r="F144" s="2" t="s">
        <v>38</v>
      </c>
      <c r="G144" s="2">
        <v>3</v>
      </c>
      <c r="H144" s="3">
        <v>3.49</v>
      </c>
      <c r="I144" s="3">
        <v>10.47</v>
      </c>
    </row>
    <row r="145" spans="1:9" x14ac:dyDescent="0.3">
      <c r="A145" s="2" t="s">
        <v>113</v>
      </c>
      <c r="B145" s="2" t="s">
        <v>35</v>
      </c>
      <c r="C145" s="2" t="s">
        <v>11</v>
      </c>
      <c r="D145" s="2" t="s">
        <v>12</v>
      </c>
      <c r="E145" s="2" t="s">
        <v>18</v>
      </c>
      <c r="F145" s="2" t="s">
        <v>19</v>
      </c>
      <c r="G145" s="2">
        <v>1</v>
      </c>
      <c r="H145" s="3">
        <v>24.99</v>
      </c>
      <c r="I145" s="3">
        <v>24.99</v>
      </c>
    </row>
    <row r="146" spans="1:9" x14ac:dyDescent="0.3">
      <c r="A146" s="2" t="s">
        <v>113</v>
      </c>
      <c r="B146" s="2" t="s">
        <v>25</v>
      </c>
      <c r="C146" s="2" t="s">
        <v>34</v>
      </c>
      <c r="D146" s="2" t="s">
        <v>12</v>
      </c>
      <c r="E146" s="2" t="s">
        <v>18</v>
      </c>
      <c r="F146" s="2" t="s">
        <v>19</v>
      </c>
      <c r="G146" s="2">
        <v>4</v>
      </c>
      <c r="H146" s="3">
        <v>149.5</v>
      </c>
      <c r="I146" s="3">
        <v>598</v>
      </c>
    </row>
    <row r="147" spans="1:9" x14ac:dyDescent="0.3">
      <c r="A147" s="2" t="s">
        <v>114</v>
      </c>
      <c r="B147" s="2" t="s">
        <v>35</v>
      </c>
      <c r="C147" s="2" t="s">
        <v>36</v>
      </c>
      <c r="D147" s="2" t="s">
        <v>22</v>
      </c>
      <c r="E147" s="2" t="s">
        <v>27</v>
      </c>
      <c r="F147" s="2" t="s">
        <v>28</v>
      </c>
      <c r="G147" s="2">
        <v>2</v>
      </c>
      <c r="H147" s="3">
        <v>4.25</v>
      </c>
      <c r="I147" s="3">
        <v>8.5</v>
      </c>
    </row>
    <row r="148" spans="1:9" x14ac:dyDescent="0.3">
      <c r="A148" s="2" t="s">
        <v>115</v>
      </c>
      <c r="B148" s="2" t="s">
        <v>15</v>
      </c>
      <c r="C148" s="2" t="s">
        <v>21</v>
      </c>
      <c r="D148" s="2" t="s">
        <v>22</v>
      </c>
      <c r="E148" s="2" t="s">
        <v>37</v>
      </c>
      <c r="F148" s="2" t="s">
        <v>38</v>
      </c>
      <c r="G148" s="2">
        <v>3</v>
      </c>
      <c r="H148" s="3">
        <v>3.49</v>
      </c>
      <c r="I148" s="3">
        <v>10.47</v>
      </c>
    </row>
    <row r="149" spans="1:9" x14ac:dyDescent="0.3">
      <c r="A149" s="2" t="s">
        <v>116</v>
      </c>
      <c r="B149" s="2" t="s">
        <v>10</v>
      </c>
      <c r="C149" s="2" t="s">
        <v>42</v>
      </c>
      <c r="D149" s="2" t="s">
        <v>12</v>
      </c>
      <c r="E149" s="2" t="s">
        <v>37</v>
      </c>
      <c r="F149" s="2" t="s">
        <v>38</v>
      </c>
      <c r="G149" s="2">
        <v>2</v>
      </c>
      <c r="H149" s="3">
        <v>299</v>
      </c>
      <c r="I149" s="3">
        <v>598</v>
      </c>
    </row>
    <row r="150" spans="1:9" x14ac:dyDescent="0.3">
      <c r="A150" s="2" t="s">
        <v>116</v>
      </c>
      <c r="B150" s="2" t="s">
        <v>15</v>
      </c>
      <c r="C150" s="2" t="s">
        <v>52</v>
      </c>
      <c r="D150" s="2" t="s">
        <v>17</v>
      </c>
      <c r="E150" s="2" t="s">
        <v>18</v>
      </c>
      <c r="F150" s="2" t="s">
        <v>19</v>
      </c>
      <c r="G150" s="2">
        <v>2</v>
      </c>
      <c r="H150" s="3">
        <v>59.99</v>
      </c>
      <c r="I150" s="3">
        <v>119.98</v>
      </c>
    </row>
    <row r="151" spans="1:9" x14ac:dyDescent="0.3">
      <c r="A151" s="2" t="s">
        <v>116</v>
      </c>
      <c r="B151" s="2" t="s">
        <v>23</v>
      </c>
      <c r="C151" s="2" t="s">
        <v>26</v>
      </c>
      <c r="D151" s="2" t="s">
        <v>17</v>
      </c>
      <c r="E151" s="2" t="s">
        <v>27</v>
      </c>
      <c r="F151" s="2" t="s">
        <v>28</v>
      </c>
      <c r="G151" s="2">
        <v>3</v>
      </c>
      <c r="H151" s="3">
        <v>9.99</v>
      </c>
      <c r="I151" s="3">
        <v>29.97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"/>
  <sheetViews>
    <sheetView showGridLines="0" topLeftCell="D2" zoomScale="61" zoomScaleNormal="100" workbookViewId="0">
      <selection activeCell="AB10" sqref="AB10"/>
    </sheetView>
  </sheetViews>
  <sheetFormatPr defaultColWidth="8.6640625" defaultRowHeight="14.4" x14ac:dyDescent="0.3"/>
  <cols>
    <col min="1" max="1" width="22" customWidth="1"/>
    <col min="2" max="2" width="16" customWidth="1"/>
    <col min="22" max="22" width="8.6640625" customWidth="1"/>
  </cols>
  <sheetData>
    <row r="1" spans="1:28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77D6-29EB-4E61-9EB4-A1E0BF028D0C}">
  <dimension ref="A1:K7"/>
  <sheetViews>
    <sheetView workbookViewId="0">
      <selection activeCell="D18" sqref="D18"/>
    </sheetView>
  </sheetViews>
  <sheetFormatPr defaultRowHeight="14.4" x14ac:dyDescent="0.3"/>
  <cols>
    <col min="1" max="1" width="11.21875" bestFit="1" customWidth="1"/>
    <col min="2" max="2" width="17" bestFit="1" customWidth="1"/>
    <col min="3" max="3" width="20.6640625" bestFit="1" customWidth="1"/>
    <col min="4" max="4" width="15.77734375" bestFit="1" customWidth="1"/>
    <col min="5" max="5" width="10.5546875" bestFit="1" customWidth="1"/>
    <col min="6" max="6" width="14.88671875" bestFit="1" customWidth="1"/>
    <col min="8" max="8" width="9.21875" bestFit="1" customWidth="1"/>
    <col min="9" max="9" width="10.33203125" bestFit="1" customWidth="1"/>
    <col min="10" max="10" width="11.6640625" bestFit="1" customWidth="1"/>
    <col min="11" max="11" width="14.77734375" bestFit="1" customWidth="1"/>
  </cols>
  <sheetData>
    <row r="1" spans="1:11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</row>
    <row r="2" spans="1:11" x14ac:dyDescent="0.3">
      <c r="A2" s="10">
        <v>45296</v>
      </c>
      <c r="B2" s="8" t="s">
        <v>33</v>
      </c>
      <c r="C2" s="8" t="s">
        <v>142</v>
      </c>
      <c r="D2" s="8" t="s">
        <v>16</v>
      </c>
      <c r="E2" s="8" t="s">
        <v>17</v>
      </c>
      <c r="F2" s="8" t="s">
        <v>27</v>
      </c>
      <c r="G2" s="8" t="s">
        <v>143</v>
      </c>
      <c r="H2" s="8" t="s">
        <v>28</v>
      </c>
      <c r="I2">
        <v>2</v>
      </c>
      <c r="J2">
        <v>19.989999999999998</v>
      </c>
      <c r="K2">
        <v>39.979999999999997</v>
      </c>
    </row>
    <row r="3" spans="1:11" x14ac:dyDescent="0.3">
      <c r="A3" s="10">
        <v>45296</v>
      </c>
      <c r="B3" s="8" t="s">
        <v>15</v>
      </c>
      <c r="C3" s="8" t="s">
        <v>144</v>
      </c>
      <c r="D3" s="8" t="s">
        <v>26</v>
      </c>
      <c r="E3" s="8" t="s">
        <v>17</v>
      </c>
      <c r="F3" s="8" t="s">
        <v>27</v>
      </c>
      <c r="G3" s="8" t="s">
        <v>143</v>
      </c>
      <c r="H3" s="8" t="s">
        <v>28</v>
      </c>
      <c r="I3">
        <v>3</v>
      </c>
      <c r="J3">
        <v>9.99</v>
      </c>
      <c r="K3">
        <v>29.97</v>
      </c>
    </row>
    <row r="4" spans="1:11" x14ac:dyDescent="0.3">
      <c r="A4" s="10">
        <v>45297</v>
      </c>
      <c r="B4" s="8" t="s">
        <v>47</v>
      </c>
      <c r="C4" s="8" t="s">
        <v>145</v>
      </c>
      <c r="D4" s="8" t="s">
        <v>34</v>
      </c>
      <c r="E4" s="8" t="s">
        <v>12</v>
      </c>
      <c r="F4" s="8" t="s">
        <v>18</v>
      </c>
      <c r="G4" s="8" t="s">
        <v>146</v>
      </c>
      <c r="H4" s="8" t="s">
        <v>19</v>
      </c>
      <c r="I4">
        <v>1</v>
      </c>
      <c r="J4">
        <v>149.5</v>
      </c>
      <c r="K4">
        <v>149.5</v>
      </c>
    </row>
    <row r="5" spans="1:11" x14ac:dyDescent="0.3">
      <c r="A5" s="10">
        <v>45297</v>
      </c>
      <c r="B5" s="8" t="s">
        <v>35</v>
      </c>
      <c r="C5" s="8" t="s">
        <v>147</v>
      </c>
      <c r="D5" s="8" t="s">
        <v>36</v>
      </c>
      <c r="E5" s="8" t="s">
        <v>22</v>
      </c>
      <c r="F5" s="8" t="s">
        <v>18</v>
      </c>
      <c r="G5" s="8" t="s">
        <v>146</v>
      </c>
      <c r="H5" s="8" t="s">
        <v>19</v>
      </c>
      <c r="I5">
        <v>5</v>
      </c>
      <c r="J5">
        <v>4.25</v>
      </c>
      <c r="K5">
        <v>21.25</v>
      </c>
    </row>
    <row r="6" spans="1:11" x14ac:dyDescent="0.3">
      <c r="A6" s="10">
        <v>45298</v>
      </c>
      <c r="B6" s="8" t="s">
        <v>40</v>
      </c>
      <c r="C6" s="8" t="s">
        <v>148</v>
      </c>
      <c r="D6" s="8" t="s">
        <v>11</v>
      </c>
      <c r="E6" s="8" t="s">
        <v>12</v>
      </c>
      <c r="F6" s="8" t="s">
        <v>37</v>
      </c>
      <c r="G6" s="8" t="s">
        <v>149</v>
      </c>
      <c r="H6" s="8" t="s">
        <v>38</v>
      </c>
      <c r="I6">
        <v>2</v>
      </c>
      <c r="J6">
        <v>24.99</v>
      </c>
      <c r="K6">
        <v>49.98</v>
      </c>
    </row>
    <row r="7" spans="1:11" x14ac:dyDescent="0.3">
      <c r="A7" s="10">
        <v>45299</v>
      </c>
      <c r="B7" s="8" t="s">
        <v>33</v>
      </c>
      <c r="C7" s="8" t="s">
        <v>142</v>
      </c>
      <c r="D7" s="8" t="s">
        <v>34</v>
      </c>
      <c r="E7" s="8" t="s">
        <v>12</v>
      </c>
      <c r="F7" s="8" t="s">
        <v>27</v>
      </c>
      <c r="G7" s="8" t="s">
        <v>143</v>
      </c>
      <c r="H7" s="8" t="s">
        <v>28</v>
      </c>
      <c r="I7">
        <v>1</v>
      </c>
      <c r="J7">
        <v>149.5</v>
      </c>
      <c r="K7">
        <v>149.5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4E38-6EE1-4423-B4A2-139CE3299447}">
  <dimension ref="A3:F118"/>
  <sheetViews>
    <sheetView tabSelected="1" topLeftCell="A100" workbookViewId="0">
      <selection activeCell="L123" sqref="L123"/>
    </sheetView>
  </sheetViews>
  <sheetFormatPr defaultRowHeight="14.4" x14ac:dyDescent="0.3"/>
  <cols>
    <col min="1" max="1" width="12.5546875" bestFit="1" customWidth="1"/>
    <col min="2" max="2" width="19.21875" bestFit="1" customWidth="1"/>
    <col min="3" max="3" width="10" bestFit="1" customWidth="1"/>
    <col min="4" max="4" width="9.44140625" bestFit="1" customWidth="1"/>
    <col min="5" max="5" width="10.33203125" bestFit="1" customWidth="1"/>
    <col min="6" max="6" width="9.109375" bestFit="1" customWidth="1"/>
    <col min="7" max="7" width="10.33203125" bestFit="1" customWidth="1"/>
    <col min="8" max="8" width="12.6640625" bestFit="1" customWidth="1"/>
    <col min="9" max="9" width="9.88671875" bestFit="1" customWidth="1"/>
    <col min="10" max="10" width="9.109375" bestFit="1" customWidth="1"/>
    <col min="11" max="11" width="10.6640625" bestFit="1" customWidth="1"/>
    <col min="12" max="12" width="10.77734375" bestFit="1" customWidth="1"/>
    <col min="13" max="26" width="6.5546875" bestFit="1" customWidth="1"/>
    <col min="27" max="34" width="7.5546875" bestFit="1" customWidth="1"/>
    <col min="35" max="35" width="9.109375" bestFit="1" customWidth="1"/>
    <col min="36" max="36" width="10.77734375" bestFit="1" customWidth="1"/>
    <col min="37" max="79" width="10.33203125" bestFit="1" customWidth="1"/>
    <col min="80" max="80" width="10.77734375" bestFit="1" customWidth="1"/>
  </cols>
  <sheetData>
    <row r="3" spans="1:2" x14ac:dyDescent="0.3">
      <c r="A3" s="5" t="s">
        <v>127</v>
      </c>
      <c r="B3" t="s">
        <v>126</v>
      </c>
    </row>
    <row r="4" spans="1:2" x14ac:dyDescent="0.3">
      <c r="A4" s="7" t="s">
        <v>52</v>
      </c>
      <c r="B4" s="6">
        <v>1919.68</v>
      </c>
    </row>
    <row r="5" spans="1:2" x14ac:dyDescent="0.3">
      <c r="A5" s="7" t="s">
        <v>11</v>
      </c>
      <c r="B5" s="6">
        <v>1224.5100000000002</v>
      </c>
    </row>
    <row r="6" spans="1:2" x14ac:dyDescent="0.3">
      <c r="A6" s="7" t="s">
        <v>36</v>
      </c>
      <c r="B6" s="6">
        <v>174.25</v>
      </c>
    </row>
    <row r="7" spans="1:2" x14ac:dyDescent="0.3">
      <c r="A7" s="7" t="s">
        <v>34</v>
      </c>
      <c r="B7" s="6">
        <v>7176</v>
      </c>
    </row>
    <row r="8" spans="1:2" x14ac:dyDescent="0.3">
      <c r="A8" s="7" t="s">
        <v>29</v>
      </c>
      <c r="B8" s="6">
        <v>337.74</v>
      </c>
    </row>
    <row r="9" spans="1:2" x14ac:dyDescent="0.3">
      <c r="A9" s="7" t="s">
        <v>42</v>
      </c>
      <c r="B9" s="6">
        <v>14352</v>
      </c>
    </row>
    <row r="10" spans="1:2" x14ac:dyDescent="0.3">
      <c r="A10" s="7" t="s">
        <v>21</v>
      </c>
      <c r="B10" s="6">
        <v>191.95000000000002</v>
      </c>
    </row>
    <row r="11" spans="1:2" x14ac:dyDescent="0.3">
      <c r="A11" s="7" t="s">
        <v>26</v>
      </c>
      <c r="B11" s="6">
        <v>459.54000000000008</v>
      </c>
    </row>
    <row r="12" spans="1:2" x14ac:dyDescent="0.3">
      <c r="A12" s="7" t="s">
        <v>16</v>
      </c>
      <c r="B12" s="6">
        <v>719.64</v>
      </c>
    </row>
    <row r="13" spans="1:2" x14ac:dyDescent="0.3">
      <c r="A13" s="7" t="s">
        <v>125</v>
      </c>
      <c r="B13" s="6">
        <v>26555.31</v>
      </c>
    </row>
    <row r="17" spans="1:2" x14ac:dyDescent="0.3">
      <c r="A17" s="5" t="s">
        <v>127</v>
      </c>
      <c r="B17" t="s">
        <v>126</v>
      </c>
    </row>
    <row r="18" spans="1:2" x14ac:dyDescent="0.3">
      <c r="A18" s="7" t="s">
        <v>28</v>
      </c>
      <c r="B18" s="8">
        <v>4314.6799999999976</v>
      </c>
    </row>
    <row r="19" spans="1:2" x14ac:dyDescent="0.3">
      <c r="A19" s="7" t="s">
        <v>19</v>
      </c>
      <c r="B19" s="8">
        <v>5632.199999999998</v>
      </c>
    </row>
    <row r="20" spans="1:2" x14ac:dyDescent="0.3">
      <c r="A20" s="7" t="s">
        <v>38</v>
      </c>
      <c r="B20" s="8">
        <v>7452.7299999999977</v>
      </c>
    </row>
    <row r="21" spans="1:2" x14ac:dyDescent="0.3">
      <c r="A21" s="7" t="s">
        <v>14</v>
      </c>
      <c r="B21" s="8">
        <v>9155.6999999999971</v>
      </c>
    </row>
    <row r="22" spans="1:2" x14ac:dyDescent="0.3">
      <c r="A22" s="7" t="s">
        <v>128</v>
      </c>
      <c r="B22" s="8"/>
    </row>
    <row r="23" spans="1:2" x14ac:dyDescent="0.3">
      <c r="A23" s="7" t="s">
        <v>125</v>
      </c>
      <c r="B23" s="8">
        <v>26555.30999999999</v>
      </c>
    </row>
    <row r="35" spans="1:6" x14ac:dyDescent="0.3">
      <c r="A35" s="5" t="s">
        <v>126</v>
      </c>
      <c r="B35" s="5" t="s">
        <v>124</v>
      </c>
    </row>
    <row r="36" spans="1:6" x14ac:dyDescent="0.3">
      <c r="A36" s="5" t="s">
        <v>127</v>
      </c>
      <c r="B36" t="s">
        <v>28</v>
      </c>
      <c r="C36" t="s">
        <v>19</v>
      </c>
      <c r="D36" t="s">
        <v>38</v>
      </c>
      <c r="E36" t="s">
        <v>14</v>
      </c>
      <c r="F36" t="s">
        <v>125</v>
      </c>
    </row>
    <row r="37" spans="1:6" x14ac:dyDescent="0.3">
      <c r="A37" s="7" t="s">
        <v>52</v>
      </c>
      <c r="B37" s="6">
        <v>299.95</v>
      </c>
      <c r="C37" s="6">
        <v>299.95</v>
      </c>
      <c r="D37" s="6">
        <v>779.87</v>
      </c>
      <c r="E37" s="6">
        <v>539.91</v>
      </c>
      <c r="F37" s="6">
        <v>1919.6799999999998</v>
      </c>
    </row>
    <row r="38" spans="1:6" x14ac:dyDescent="0.3">
      <c r="A38" s="7" t="s">
        <v>11</v>
      </c>
      <c r="B38" s="6">
        <v>249.89999999999998</v>
      </c>
      <c r="C38" s="6">
        <v>524.79000000000008</v>
      </c>
      <c r="D38" s="6">
        <v>149.94</v>
      </c>
      <c r="E38" s="6">
        <v>299.88</v>
      </c>
      <c r="F38" s="6">
        <v>1224.5100000000002</v>
      </c>
    </row>
    <row r="39" spans="1:6" x14ac:dyDescent="0.3">
      <c r="A39" s="7" t="s">
        <v>36</v>
      </c>
      <c r="B39" s="6">
        <v>25.5</v>
      </c>
      <c r="C39" s="6">
        <v>76.5</v>
      </c>
      <c r="D39" s="6">
        <v>29.75</v>
      </c>
      <c r="E39" s="6">
        <v>42.5</v>
      </c>
      <c r="F39" s="6">
        <v>174.25</v>
      </c>
    </row>
    <row r="40" spans="1:6" x14ac:dyDescent="0.3">
      <c r="A40" s="7" t="s">
        <v>34</v>
      </c>
      <c r="B40" s="6">
        <v>1196</v>
      </c>
      <c r="C40" s="6">
        <v>1495</v>
      </c>
      <c r="D40" s="6">
        <v>2840.5</v>
      </c>
      <c r="E40" s="6">
        <v>1644.5</v>
      </c>
      <c r="F40" s="6">
        <v>7176</v>
      </c>
    </row>
    <row r="41" spans="1:6" x14ac:dyDescent="0.3">
      <c r="A41" s="7" t="s">
        <v>29</v>
      </c>
      <c r="B41" s="6">
        <v>116.91</v>
      </c>
      <c r="C41" s="6">
        <v>168.86999999999998</v>
      </c>
      <c r="D41" s="6">
        <v>51.96</v>
      </c>
      <c r="E41" s="6"/>
      <c r="F41" s="6">
        <v>337.73999999999995</v>
      </c>
    </row>
    <row r="42" spans="1:6" x14ac:dyDescent="0.3">
      <c r="A42" s="7" t="s">
        <v>42</v>
      </c>
      <c r="B42" s="6">
        <v>1794</v>
      </c>
      <c r="C42" s="6">
        <v>2691</v>
      </c>
      <c r="D42" s="6">
        <v>3289</v>
      </c>
      <c r="E42" s="6">
        <v>6578</v>
      </c>
      <c r="F42" s="6">
        <v>14352</v>
      </c>
    </row>
    <row r="43" spans="1:6" x14ac:dyDescent="0.3">
      <c r="A43" s="7" t="s">
        <v>21</v>
      </c>
      <c r="B43" s="6">
        <v>62.82</v>
      </c>
      <c r="C43" s="6">
        <v>66.31</v>
      </c>
      <c r="D43" s="6">
        <v>41.88</v>
      </c>
      <c r="E43" s="6">
        <v>20.94</v>
      </c>
      <c r="F43" s="6">
        <v>191.95</v>
      </c>
    </row>
    <row r="44" spans="1:6" x14ac:dyDescent="0.3">
      <c r="A44" s="7" t="s">
        <v>26</v>
      </c>
      <c r="B44" s="6">
        <v>229.77</v>
      </c>
      <c r="C44" s="6">
        <v>129.87</v>
      </c>
      <c r="D44" s="6">
        <v>69.930000000000007</v>
      </c>
      <c r="E44" s="6">
        <v>29.97</v>
      </c>
      <c r="F44" s="6">
        <v>459.53999999999996</v>
      </c>
    </row>
    <row r="45" spans="1:6" x14ac:dyDescent="0.3">
      <c r="A45" s="7" t="s">
        <v>16</v>
      </c>
      <c r="B45" s="6">
        <v>339.83</v>
      </c>
      <c r="C45" s="6">
        <v>179.90999999999997</v>
      </c>
      <c r="D45" s="6">
        <v>199.89999999999998</v>
      </c>
      <c r="E45" s="6"/>
      <c r="F45" s="6">
        <v>719.64</v>
      </c>
    </row>
    <row r="46" spans="1:6" x14ac:dyDescent="0.3">
      <c r="A46" s="7" t="s">
        <v>125</v>
      </c>
      <c r="B46" s="6">
        <v>4314.68</v>
      </c>
      <c r="C46" s="6">
        <v>5632.2</v>
      </c>
      <c r="D46" s="6">
        <v>7452.7300000000005</v>
      </c>
      <c r="E46" s="6">
        <v>9155.7000000000007</v>
      </c>
      <c r="F46" s="6">
        <v>26555.31</v>
      </c>
    </row>
    <row r="53" spans="1:5" x14ac:dyDescent="0.3">
      <c r="A53" s="5" t="s">
        <v>0</v>
      </c>
      <c r="B53" t="s">
        <v>129</v>
      </c>
    </row>
    <row r="55" spans="1:5" x14ac:dyDescent="0.3">
      <c r="A55" s="5" t="s">
        <v>130</v>
      </c>
      <c r="B55" s="5" t="s">
        <v>124</v>
      </c>
    </row>
    <row r="56" spans="1:5" x14ac:dyDescent="0.3">
      <c r="A56" s="5" t="s">
        <v>127</v>
      </c>
      <c r="B56" t="s">
        <v>17</v>
      </c>
      <c r="C56" t="s">
        <v>12</v>
      </c>
      <c r="D56" t="s">
        <v>22</v>
      </c>
      <c r="E56" t="s">
        <v>125</v>
      </c>
    </row>
    <row r="57" spans="1:5" x14ac:dyDescent="0.3">
      <c r="A57" s="7" t="s">
        <v>28</v>
      </c>
      <c r="B57" s="8">
        <v>45</v>
      </c>
      <c r="C57" s="8">
        <v>24</v>
      </c>
      <c r="D57" s="8">
        <v>33</v>
      </c>
      <c r="E57" s="8">
        <v>102</v>
      </c>
    </row>
    <row r="58" spans="1:5" x14ac:dyDescent="0.3">
      <c r="A58" s="7" t="s">
        <v>19</v>
      </c>
      <c r="B58" s="8">
        <v>27</v>
      </c>
      <c r="C58" s="8">
        <v>40</v>
      </c>
      <c r="D58" s="8">
        <v>50</v>
      </c>
      <c r="E58" s="8">
        <v>117</v>
      </c>
    </row>
    <row r="59" spans="1:5" x14ac:dyDescent="0.3">
      <c r="A59" s="7" t="s">
        <v>38</v>
      </c>
      <c r="B59" s="8">
        <v>30</v>
      </c>
      <c r="C59" s="8">
        <v>36</v>
      </c>
      <c r="D59" s="8">
        <v>23</v>
      </c>
      <c r="E59" s="8">
        <v>89</v>
      </c>
    </row>
    <row r="60" spans="1:5" x14ac:dyDescent="0.3">
      <c r="A60" s="7" t="s">
        <v>14</v>
      </c>
      <c r="B60" s="8">
        <v>12</v>
      </c>
      <c r="C60" s="8">
        <v>45</v>
      </c>
      <c r="D60" s="8">
        <v>16</v>
      </c>
      <c r="E60" s="8">
        <v>73</v>
      </c>
    </row>
    <row r="61" spans="1:5" x14ac:dyDescent="0.3">
      <c r="A61" s="7" t="s">
        <v>125</v>
      </c>
      <c r="B61" s="8">
        <v>114</v>
      </c>
      <c r="C61" s="8">
        <v>145</v>
      </c>
      <c r="D61" s="8">
        <v>122</v>
      </c>
      <c r="E61" s="8">
        <v>381</v>
      </c>
    </row>
    <row r="73" spans="1:2" x14ac:dyDescent="0.3">
      <c r="A73" s="5" t="s">
        <v>127</v>
      </c>
      <c r="B73" t="s">
        <v>126</v>
      </c>
    </row>
    <row r="74" spans="1:2" x14ac:dyDescent="0.3">
      <c r="A74" s="7" t="s">
        <v>17</v>
      </c>
      <c r="B74" s="6">
        <v>3098.8599999999992</v>
      </c>
    </row>
    <row r="75" spans="1:2" x14ac:dyDescent="0.3">
      <c r="A75" s="7" t="s">
        <v>12</v>
      </c>
      <c r="B75" s="6">
        <v>22752.51</v>
      </c>
    </row>
    <row r="76" spans="1:2" x14ac:dyDescent="0.3">
      <c r="A76" s="7" t="s">
        <v>22</v>
      </c>
      <c r="B76" s="6">
        <v>703.94000000000028</v>
      </c>
    </row>
    <row r="77" spans="1:2" x14ac:dyDescent="0.3">
      <c r="A77" s="7" t="s">
        <v>125</v>
      </c>
      <c r="B77" s="6">
        <v>26555.309999999998</v>
      </c>
    </row>
    <row r="92" spans="1:2" x14ac:dyDescent="0.3">
      <c r="A92" s="5" t="s">
        <v>127</v>
      </c>
      <c r="B92" t="s">
        <v>126</v>
      </c>
    </row>
    <row r="93" spans="1:2" x14ac:dyDescent="0.3">
      <c r="A93" s="7" t="s">
        <v>10</v>
      </c>
      <c r="B93" s="6">
        <v>7147.16</v>
      </c>
    </row>
    <row r="94" spans="1:2" x14ac:dyDescent="0.3">
      <c r="A94" s="7" t="s">
        <v>23</v>
      </c>
      <c r="B94" s="6">
        <v>4292.5199999999995</v>
      </c>
    </row>
    <row r="95" spans="1:2" x14ac:dyDescent="0.3">
      <c r="A95" s="7" t="s">
        <v>40</v>
      </c>
      <c r="B95" s="6">
        <v>2619.33</v>
      </c>
    </row>
    <row r="96" spans="1:2" x14ac:dyDescent="0.3">
      <c r="A96" s="7" t="s">
        <v>25</v>
      </c>
      <c r="B96" s="6">
        <v>2590.9400000000005</v>
      </c>
    </row>
    <row r="97" spans="1:2" x14ac:dyDescent="0.3">
      <c r="A97" s="7" t="s">
        <v>31</v>
      </c>
      <c r="B97" s="6">
        <v>2533.9299999999998</v>
      </c>
    </row>
    <row r="98" spans="1:2" x14ac:dyDescent="0.3">
      <c r="A98" s="7" t="s">
        <v>35</v>
      </c>
      <c r="B98" s="6">
        <v>1895.5000000000002</v>
      </c>
    </row>
    <row r="99" spans="1:2" x14ac:dyDescent="0.3">
      <c r="A99" s="7" t="s">
        <v>15</v>
      </c>
      <c r="B99" s="6">
        <v>1835.5600000000002</v>
      </c>
    </row>
    <row r="100" spans="1:2" x14ac:dyDescent="0.3">
      <c r="A100" s="7" t="s">
        <v>20</v>
      </c>
      <c r="B100" s="6">
        <v>1659.8</v>
      </c>
    </row>
    <row r="101" spans="1:2" x14ac:dyDescent="0.3">
      <c r="A101" s="7" t="s">
        <v>47</v>
      </c>
      <c r="B101" s="6">
        <v>1121.8300000000002</v>
      </c>
    </row>
    <row r="102" spans="1:2" x14ac:dyDescent="0.3">
      <c r="A102" s="7" t="s">
        <v>33</v>
      </c>
      <c r="B102" s="6">
        <v>858.74000000000012</v>
      </c>
    </row>
    <row r="103" spans="1:2" x14ac:dyDescent="0.3">
      <c r="A103" s="7" t="s">
        <v>125</v>
      </c>
      <c r="B103" s="6">
        <v>26555.310000000005</v>
      </c>
    </row>
    <row r="112" spans="1:2" ht="15.6" x14ac:dyDescent="0.3">
      <c r="A112" s="4" t="s">
        <v>117</v>
      </c>
    </row>
    <row r="114" spans="1:2" x14ac:dyDescent="0.3">
      <c r="A114" s="1" t="s">
        <v>118</v>
      </c>
      <c r="B114" s="1" t="s">
        <v>119</v>
      </c>
    </row>
    <row r="115" spans="1:2" x14ac:dyDescent="0.3">
      <c r="A115" s="2" t="s">
        <v>120</v>
      </c>
      <c r="B115" s="3">
        <f>SUM(SalesData[Total Amount])</f>
        <v>26555.310000000005</v>
      </c>
    </row>
    <row r="116" spans="1:2" x14ac:dyDescent="0.3">
      <c r="A116" s="2" t="s">
        <v>121</v>
      </c>
      <c r="B116" s="3">
        <f>SUMIFS(SalesData[Total Amount],SalesData[Category],"Furniture")</f>
        <v>22752.51</v>
      </c>
    </row>
    <row r="117" spans="1:2" x14ac:dyDescent="0.3">
      <c r="A117" s="2" t="s">
        <v>122</v>
      </c>
      <c r="B117" s="3">
        <f>SUMIFS(SalesData[Total Amount],SalesData[Category],"Electronics")</f>
        <v>3098.8599999999992</v>
      </c>
    </row>
    <row r="118" spans="1:2" x14ac:dyDescent="0.3">
      <c r="A118" s="2" t="s">
        <v>123</v>
      </c>
      <c r="B118" s="3">
        <f>SUMIFS(SalesData[Total Amount],SalesData[Category],"Stationery")</f>
        <v>703.94000000000028</v>
      </c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8C0CCD-5B31-472A-B3CF-E7DCA6C869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QuickStats</vt:lpstr>
      <vt:lpstr>messy_sample_for_power_query.cs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Aishwarya .S</cp:lastModifiedBy>
  <cp:revision>0</cp:revision>
  <dcterms:created xsi:type="dcterms:W3CDTF">2026-07-21T03:22:06Z</dcterms:created>
  <dcterms:modified xsi:type="dcterms:W3CDTF">2026-07-21T07:40:01Z</dcterms:modified>
  <dc:language>en-US</dc:language>
</cp:coreProperties>
</file>